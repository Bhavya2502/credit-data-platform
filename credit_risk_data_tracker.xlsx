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ools\credit_risk_data\"/>
    </mc:Choice>
  </mc:AlternateContent>
  <xr:revisionPtr revIDLastSave="0" documentId="13_ncr:1_{7D975A54-352E-4D19-887B-EB90E5C7FC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1_Sources" sheetId="2" r:id="rId2"/>
    <sheet name="Dashboard" sheetId="3" r:id="rId3"/>
    <sheet name="2_Assembly" sheetId="4" r:id="rId4"/>
    <sheet name="3_Prototypes" sheetId="5" r:id="rId5"/>
    <sheet name="4_Pipelines" sheetId="6" r:id="rId6"/>
    <sheet name="5_DB_Schema" sheetId="7" r:id="rId7"/>
    <sheet name="6_Anchors" sheetId="8" r:id="rId8"/>
    <sheet name="7_Licensing" sheetId="9" r:id="rId9"/>
    <sheet name="8_Watchlist" sheetId="10" r:id="rId10"/>
  </sheets>
  <definedNames>
    <definedName name="_xlnm._FilterDatabase" localSheetId="1" hidden="1">'1_Sources'!$A$3:$T$112</definedName>
    <definedName name="_xlnm._FilterDatabase" localSheetId="3" hidden="1">'2_Assembly'!$A$3:$N$10</definedName>
    <definedName name="_xlnm._FilterDatabase" localSheetId="4" hidden="1">'3_Prototypes'!$A$3:$L$15</definedName>
    <definedName name="_xlnm._FilterDatabase" localSheetId="5" hidden="1">'4_Pipelines'!$A$3:$L$35</definedName>
    <definedName name="_xlnm._FilterDatabase" localSheetId="6" hidden="1">'5_DB_Schema'!$A$3:$I$19</definedName>
    <definedName name="_xlnm._FilterDatabase" localSheetId="7" hidden="1">'6_Anchors'!$A$3:$I$47</definedName>
    <definedName name="_xlnm._FilterDatabase" localSheetId="8" hidden="1">'7_Licensing'!$A$3:$F$17</definedName>
    <definedName name="_xlnm._FilterDatabase" localSheetId="9" hidden="1">'8_Watchlist'!$A$3:$H$21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G14" i="3"/>
  <c r="F14" i="3"/>
  <c r="G13" i="3"/>
  <c r="F13" i="3"/>
  <c r="G12" i="3"/>
  <c r="F12" i="3"/>
  <c r="C12" i="3"/>
  <c r="G11" i="3"/>
  <c r="F11" i="3"/>
  <c r="C11" i="3"/>
  <c r="C10" i="3"/>
  <c r="C9" i="3"/>
  <c r="O8" i="3"/>
  <c r="N8" i="3"/>
  <c r="M8" i="3"/>
  <c r="L8" i="3"/>
  <c r="K8" i="3"/>
  <c r="J8" i="3"/>
  <c r="I8" i="3"/>
  <c r="H8" i="3"/>
  <c r="G8" i="3"/>
  <c r="F8" i="3"/>
  <c r="C8" i="3"/>
  <c r="O7" i="3"/>
  <c r="N7" i="3"/>
  <c r="M7" i="3"/>
  <c r="L7" i="3"/>
  <c r="K7" i="3"/>
  <c r="J7" i="3"/>
  <c r="I7" i="3"/>
  <c r="H7" i="3"/>
  <c r="G7" i="3"/>
  <c r="F7" i="3"/>
  <c r="C7" i="3"/>
  <c r="O6" i="3"/>
  <c r="N6" i="3"/>
  <c r="M6" i="3"/>
  <c r="L6" i="3"/>
  <c r="K6" i="3"/>
  <c r="J6" i="3"/>
  <c r="I6" i="3"/>
  <c r="H6" i="3"/>
  <c r="G6" i="3"/>
  <c r="F6" i="3"/>
  <c r="C6" i="3"/>
  <c r="C5" i="3"/>
</calcChain>
</file>

<file path=xl/sharedStrings.xml><?xml version="1.0" encoding="utf-8"?>
<sst xmlns="http://schemas.openxmlformats.org/spreadsheetml/2006/main" count="3722" uniqueCount="2164">
  <si>
    <t>CREDIT RISK DATA PROGRAMME — TRACKER WORKBOOK</t>
  </si>
  <si>
    <t>Companion to D:\Tools\credit_risk_data\credit_risk_data_landscape.md (v2, 30-Jul-2026). Built 30-Jul-2026.</t>
  </si>
  <si>
    <t>PURPOSE</t>
  </si>
  <si>
    <t>A living checklist of everything planned: data sources to fetch, datasets to assemble, pipelines to build,</t>
  </si>
  <si>
    <t>model prototypes, database landing places, calibration anchors, licensing constraints and open items.</t>
  </si>
  <si>
    <t>Tick statuses as you progress; the Dashboard recomputes automatically.</t>
  </si>
  <si>
    <t>SHEETS</t>
  </si>
  <si>
    <t xml:space="preserve">  Dashboard        — live progress KPIs (formulas; do not type over)</t>
  </si>
  <si>
    <t xml:space="preserve">  1_Sources        — master source checklist (108 sources: what, where, access, backfill, DB target)</t>
  </si>
  <si>
    <t xml:space="preserve">  2_Assembly       — 7 flagship datasets to assemble (IBBI LGD, India default corpus, NBFC ECL panel, P3DH panel, district panel, anchor warehouse, synthetic books)</t>
  </si>
  <si>
    <t xml:space="preserve">  3_Prototypes     — 12 model prototypes with their Layer-1/Layer-2 data stacks</t>
  </si>
  <si>
    <t xml:space="preserve">  4_Pipelines      — 32 fetch/parse/load engineering tasks with anti-bot notes</t>
  </si>
  <si>
    <t xml:space="preserve">  5_DB_Schema      — target database tables (AnaCredit/openNPL-shaped) and what feeds them</t>
  </si>
  <si>
    <t xml:space="preserve">  6_Anchors        — 44 verified calibration numbers with as-of dates (validation targets)</t>
  </si>
  <si>
    <t xml:space="preserve">  7_Licensing      — what each source group permits</t>
  </si>
  <si>
    <t xml:space="preserve">  8_Watchlist      — unverified items to re-check + upcoming-release calendar</t>
  </si>
  <si>
    <t>HOW TO USE</t>
  </si>
  <si>
    <t xml:space="preserve">  1. Work the P1 rows first (Sources, Pipelines, Assembly all carry Priority columns).</t>
  </si>
  <si>
    <t xml:space="preserve">  2. When you act on a row, set its Status via the dropdown: Not started -&gt; In progress -&gt; Fetched -&gt; Cleaned -&gt; Loaded -&gt; Validated (or Done / Blocked / N/A).</t>
  </si>
  <si>
    <t xml:space="preserve">  3. Yellow-headed columns are yours to edit (Status, Priority, Backfill, Refresh, DB target, % complete, Notes). Other columns are reference content.</t>
  </si>
  <si>
    <t xml:space="preserve">  4. Statuses colour themselves: green = landed, amber = in flight, red = blocked, grey = not started.</t>
  </si>
  <si>
    <t xml:space="preserve">  5. Research/verification phase is COMPLETE (landscape doc v2). This workbook tracks the BUILD phase.</t>
  </si>
  <si>
    <t>ID</t>
  </si>
  <si>
    <t>Source</t>
  </si>
  <si>
    <t>Priority</t>
  </si>
  <si>
    <t>Status</t>
  </si>
  <si>
    <t>Backfill plan</t>
  </si>
  <si>
    <t>DB target</t>
  </si>
  <si>
    <t>Notes</t>
  </si>
  <si>
    <t>S-001</t>
  </si>
  <si>
    <t>Freddie Mac SFLLD</t>
  </si>
  <si>
    <t>P1</t>
  </si>
  <si>
    <t>Fetched</t>
  </si>
  <si>
    <t>1999-2025 full, sample file first</t>
  </si>
  <si>
    <t>micro.facility_master</t>
  </si>
  <si>
    <t>Downloaded 2026-08-02; 2 vintages parsed</t>
  </si>
  <si>
    <t>EXAMPLE ROW (how a filled Sources row should look)</t>
  </si>
  <si>
    <t>STATUS DEFINITIONS</t>
  </si>
  <si>
    <t xml:space="preserve">  Fetched = raw files landed locally.  Cleaned = parsed/normalized.  Loaded = in the database target.</t>
  </si>
  <si>
    <t xml:space="preserve">  Validated = QA'd against anchors (6_Anchors) or published totals.  Done = fully operational incl. refresh.</t>
  </si>
  <si>
    <t>PROVENANCE</t>
  </si>
  <si>
    <t xml:space="preserve">  All content compiled from credit_risk_data_landscape.md v2 (five-workstream verified research pass, 30-Jul-2026).</t>
  </si>
  <si>
    <t xml:space="preserve">  Numbers in 6_Anchors carry their as-of dates and sources; items flagged in 8_Watchlist were NOT verified — check before load-bearing use.</t>
  </si>
  <si>
    <t>CHANGELOG</t>
  </si>
  <si>
    <t xml:space="preserve">  2026-07-30  Workbook created (research v1+v2 complete; build phase not started).</t>
  </si>
  <si>
    <t>1. DATA SOURCES — master checklist</t>
  </si>
  <si>
    <t>One row per source. Tick 'Status' as you progress; edit yellow-headed columns. Compiled 30-Jul-2026 from credit_risk_data_landscape.md v2.</t>
  </si>
  <si>
    <t>Region</t>
  </si>
  <si>
    <t>Category</t>
  </si>
  <si>
    <t>Publisher</t>
  </si>
  <si>
    <t>Portfolio(s)</t>
  </si>
  <si>
    <t>Use for</t>
  </si>
  <si>
    <t>Granularity</t>
  </si>
  <si>
    <t>Frequency</t>
  </si>
  <si>
    <t>Coverage / history</t>
  </si>
  <si>
    <t>Access</t>
  </si>
  <si>
    <t>Fetch method</t>
  </si>
  <si>
    <t>Refresh cadence</t>
  </si>
  <si>
    <t>License notes</t>
  </si>
  <si>
    <t>URL</t>
  </si>
  <si>
    <t>Global</t>
  </si>
  <si>
    <t>Loan-level micro</t>
  </si>
  <si>
    <t>Freddie Mac Single-Family Loan-Level Dataset</t>
  </si>
  <si>
    <t>Freddie Mac</t>
  </si>
  <si>
    <t>Mortgage</t>
  </si>
  <si>
    <t>PD, LGD, prepayment, cure, ECL</t>
  </si>
  <si>
    <t>Loan-month panel</t>
  </si>
  <si>
    <t>Quarterly release</t>
  </si>
  <si>
    <t>1999-Sep 2025, ~55M loans</t>
  </si>
  <si>
    <t>Registration</t>
  </si>
  <si>
    <t>Bulk ZIP download</t>
  </si>
  <si>
    <t>Full history once (subset vintages first)</t>
  </si>
  <si>
    <t>Quarterly</t>
  </si>
  <si>
    <t>Not started</t>
  </si>
  <si>
    <t>micro.facility_master + micro.performance_monthly + micro.recovery_cashflows</t>
  </si>
  <si>
    <t>No redistribution</t>
  </si>
  <si>
    <t>freddiemac.com</t>
  </si>
  <si>
    <t>Expense &amp; proceeds columns make it LGD-capable; canonical prepayment data</t>
  </si>
  <si>
    <t>S-002</t>
  </si>
  <si>
    <t>Fannie Mae SF Loan Performance (CAS enhanced)</t>
  </si>
  <si>
    <t>Fannie Mae</t>
  </si>
  <si>
    <t>PD, LGD, prepayment</t>
  </si>
  <si>
    <t>2000+</t>
  </si>
  <si>
    <t>Bulk download</t>
  </si>
  <si>
    <t>Full once</t>
  </si>
  <si>
    <t>P2</t>
  </si>
  <si>
    <t>micro.* (same as Freddie)</t>
  </si>
  <si>
    <t>capitalmarkets.fanniemae.com</t>
  </si>
  <si>
    <t>Credit-event costs and recovery proceeds through disposition</t>
  </si>
  <si>
    <t>S-003</t>
  </si>
  <si>
    <t>Ginnie Mae MBS loan-level disclosure</t>
  </si>
  <si>
    <t>Ginnie Mae</t>
  </si>
  <si>
    <t>Mortgage (govt)</t>
  </si>
  <si>
    <t>PD, delinquency</t>
  </si>
  <si>
    <t>Loan-month</t>
  </si>
  <si>
    <t>Monthly</t>
  </si>
  <si>
    <t>2012+</t>
  </si>
  <si>
    <t>Open</t>
  </si>
  <si>
    <t>Optional</t>
  </si>
  <si>
    <t>P3</t>
  </si>
  <si>
    <t>micro.*</t>
  </si>
  <si>
    <t>ginniemae.gov</t>
  </si>
  <si>
    <t>FHA/VA credit box - contrast portfolio</t>
  </si>
  <si>
    <t>S-004</t>
  </si>
  <si>
    <t>GSE Multifamily (Freddie MLPD + Fannie MF)</t>
  </si>
  <si>
    <t>Freddie/Fannie</t>
  </si>
  <si>
    <t>CRE multifamily</t>
  </si>
  <si>
    <t>PD, LGD</t>
  </si>
  <si>
    <t>Loan-level</t>
  </si>
  <si>
    <t>Periodic</t>
  </si>
  <si>
    <t>1994+</t>
  </si>
  <si>
    <t>Download</t>
  </si>
  <si>
    <t>Annual</t>
  </si>
  <si>
    <t>mf.freddiemac.com</t>
  </si>
  <si>
    <t>Includes REO sale dates</t>
  </si>
  <si>
    <t>S-005</t>
  </si>
  <si>
    <t>Collateral index</t>
  </si>
  <si>
    <t>FHFA HPI + NMDB aggregate statistics</t>
  </si>
  <si>
    <t>FHFA</t>
  </si>
  <si>
    <t>Mortgage collateral</t>
  </si>
  <si>
    <t>LGD collateral paths, performance aggregates</t>
  </si>
  <si>
    <t>Index: national to ZIP</t>
  </si>
  <si>
    <t>Quarterly/monthly</t>
  </si>
  <si>
    <t>Mid-1970s+</t>
  </si>
  <si>
    <t>CSV/API</t>
  </si>
  <si>
    <t>idx.collateral_indices</t>
  </si>
  <si>
    <t>Public domain</t>
  </si>
  <si>
    <t>fhfa.gov</t>
  </si>
  <si>
    <t>Drives mortgage LGD stress</t>
  </si>
  <si>
    <t>S-006</t>
  </si>
  <si>
    <t>HMDA LAR (incl. declined applications)</t>
  </si>
  <si>
    <t>FFIEC/CFPB</t>
  </si>
  <si>
    <t>Scorecard inputs, reject inference</t>
  </si>
  <si>
    <t>Application-level</t>
  </si>
  <si>
    <t>2007+ (modern format 2018+)</t>
  </si>
  <si>
    <t>Bulk CSV</t>
  </si>
  <si>
    <t>Selected years</t>
  </si>
  <si>
    <t>micro.applications</t>
  </si>
  <si>
    <t>Public</t>
  </si>
  <si>
    <t>ffiec.cfpb.gov</t>
  </si>
  <si>
    <t>One of very few public sources of rejects</t>
  </si>
  <si>
    <t>S-007</t>
  </si>
  <si>
    <t>SEC ABS-EE auto loan/lease EX-102 files</t>
  </si>
  <si>
    <t>Issuers via SEC EDGAR</t>
  </si>
  <si>
    <t>Auto</t>
  </si>
  <si>
    <t>PD, LGD, recovery timing</t>
  </si>
  <si>
    <t>Loan-month XML</t>
  </si>
  <si>
    <t>Monthly per deal</t>
  </si>
  <si>
    <t>Nov 2016+</t>
  </si>
  <si>
    <t>EDGAR scrape + XML parse</t>
  </si>
  <si>
    <t>Backfill all major shelves</t>
  </si>
  <si>
    <t>micro.facility_master + micro.recovery_cashflows</t>
  </si>
  <si>
    <t>efts.sec.gov</t>
  </si>
  <si>
    <t>Charge-off AND recovery amounts; Ford/GM/Santander/CarMax/Carvana/Westlake</t>
  </si>
  <si>
    <t>S-008</t>
  </si>
  <si>
    <t>CMBS ABS-EE / CREFC IRP servicer data</t>
  </si>
  <si>
    <t>CRE</t>
  </si>
  <si>
    <t>2016+</t>
  </si>
  <si>
    <t>XML parse</t>
  </si>
  <si>
    <t>sec.gov</t>
  </si>
  <si>
    <t>Rich but lower priority vs India focus</t>
  </si>
  <si>
    <t>S-009</t>
  </si>
  <si>
    <t>Pool-level</t>
  </si>
  <si>
    <t>Credit card master trust 10-D reports</t>
  </si>
  <si>
    <t>Chase/Citi/COF/Amex via EDGAR</t>
  </si>
  <si>
    <t>Cards</t>
  </si>
  <si>
    <t>Vintage stress, roll rates, payment rate (EAD proxy)</t>
  </si>
  <si>
    <t>Pool-month</t>
  </si>
  <si>
    <t>~2000+</t>
  </si>
  <si>
    <t>EDGAR scrape + table parse</t>
  </si>
  <si>
    <t>20y backfill</t>
  </si>
  <si>
    <t>agg.card_trust_series</t>
  </si>
  <si>
    <t>Charge-off, 30-180+ buckets, monthly payment rate, yield, excess spread</t>
  </si>
  <si>
    <t>S-010</t>
  </si>
  <si>
    <t>Access layer</t>
  </si>
  <si>
    <t>Finsight (ABS deal browser)</t>
  </si>
  <si>
    <t>Finsight</t>
  </si>
  <si>
    <t>ABS all</t>
  </si>
  <si>
    <t>Deal discovery</t>
  </si>
  <si>
    <t>Deal-level</t>
  </si>
  <si>
    <t>Live</t>
  </si>
  <si>
    <t>-</t>
  </si>
  <si>
    <t>Free browse; clean CSVs paid</t>
  </si>
  <si>
    <t>Manual</t>
  </si>
  <si>
    <t>Paid tier for CSV exports</t>
  </si>
  <si>
    <t>finsight.com</t>
  </si>
  <si>
    <t>Use raw EDGAR XML for free loan-level</t>
  </si>
  <si>
    <t>S-011</t>
  </si>
  <si>
    <t>European DataWarehouse (EDW)</t>
  </si>
  <si>
    <t>EDW</t>
  </si>
  <si>
    <t>EU retail ABS</t>
  </si>
  <si>
    <t>PD/LGD; ESMA templates as schema</t>
  </si>
  <si>
    <t>2012+, 100M+ loans</t>
  </si>
  <si>
    <t>Paid / researcher request</t>
  </si>
  <si>
    <t>ref.schemas (templates)</t>
  </si>
  <si>
    <t>Bulk is paid</t>
  </si>
  <si>
    <t>eurodw.eu</t>
  </si>
  <si>
    <t>ESMA templates free = canonical EU loan-record schema</t>
  </si>
  <si>
    <t>S-012</t>
  </si>
  <si>
    <t>SBA 7(a) &amp; 504 FOIA loan data</t>
  </si>
  <si>
    <t>SBA</t>
  </si>
  <si>
    <t>SME</t>
  </si>
  <si>
    <t>PD, LGD (charge-off amounts)</t>
  </si>
  <si>
    <t>Quarterly refresh</t>
  </si>
  <si>
    <t>1991+, ~1.79M loans</t>
  </si>
  <si>
    <t>CSV download</t>
  </si>
  <si>
    <t>data.sba.gov</t>
  </si>
  <si>
    <t>Loss amounts across 3 recessions; guarantee structure caveat</t>
  </si>
  <si>
    <t>S-013</t>
  </si>
  <si>
    <t>LendingClub archive (incl. rejected apps)</t>
  </si>
  <si>
    <t>Kaggle mirror</t>
  </si>
  <si>
    <t>Personal</t>
  </si>
  <si>
    <t>Application scorecard, reject inference</t>
  </si>
  <si>
    <t>Static</t>
  </si>
  <si>
    <t>2007-2018</t>
  </si>
  <si>
    <t>Kaggle account</t>
  </si>
  <si>
    <t>Kaggle download</t>
  </si>
  <si>
    <t>Once</t>
  </si>
  <si>
    <t>None</t>
  </si>
  <si>
    <t>Non-commercial (mirror)</t>
  </si>
  <si>
    <t>kaggle.com</t>
  </si>
  <si>
    <t>Platform no longer publishes</t>
  </si>
  <si>
    <t>S-014</t>
  </si>
  <si>
    <t>Bondora / Go&amp;Grow public loan book</t>
  </si>
  <si>
    <t>Go&amp;Grow OU (Estonia)</t>
  </si>
  <si>
    <t>Workout LGD, cure rates, recovery cashflows</t>
  </si>
  <si>
    <t>Loan-level with recovery fields</t>
  </si>
  <si>
    <t>Ongoing XLSX</t>
  </si>
  <si>
    <t>Feb 2009+</t>
  </si>
  <si>
    <t>XLSX download + archived snapshots</t>
  </si>
  <si>
    <t>Once + IEEE DataPort snapshot</t>
  </si>
  <si>
    <t>micro.recovery_cashflows</t>
  </si>
  <si>
    <t>Open-ish; API dead Sep 2025</t>
  </si>
  <si>
    <t>goandgrow.eu</t>
  </si>
  <si>
    <t>EAD1/EAD2, PrincipalRecovery, InterestRecovery, RecoveryStage - unique free consumer recovery data</t>
  </si>
  <si>
    <t>S-015</t>
  </si>
  <si>
    <t>Prosper listings &amp; loans</t>
  </si>
  <si>
    <t>Prosper</t>
  </si>
  <si>
    <t>Scorecard</t>
  </si>
  <si>
    <t>Static-ish</t>
  </si>
  <si>
    <t>2006+</t>
  </si>
  <si>
    <t>Check ToS</t>
  </si>
  <si>
    <t>prosper.com</t>
  </si>
  <si>
    <t>Lower priority</t>
  </si>
  <si>
    <t>S-016</t>
  </si>
  <si>
    <t>Kiva microloans</t>
  </si>
  <si>
    <t>Kiva</t>
  </si>
  <si>
    <t>Microfinance</t>
  </si>
  <si>
    <t>PD-ish, inclusion</t>
  </si>
  <si>
    <t>API</t>
  </si>
  <si>
    <t>2005+</t>
  </si>
  <si>
    <t>kiva.org</t>
  </si>
  <si>
    <t>Global microfinance flavour</t>
  </si>
  <si>
    <t>S-017</t>
  </si>
  <si>
    <t>Home Credit Default Risk (2018)</t>
  </si>
  <si>
    <t>Home Credit via Kaggle</t>
  </si>
  <si>
    <t>Personal (EM)</t>
  </si>
  <si>
    <t>Application scorecard structure</t>
  </si>
  <si>
    <t>App + bureau + prior-app tables</t>
  </si>
  <si>
    <t>~2016-18 vintage</t>
  </si>
  <si>
    <t>Competition rules: non-commercial</t>
  </si>
  <si>
    <t>Best structural proxy for an India retail book</t>
  </si>
  <si>
    <t>S-018</t>
  </si>
  <si>
    <t>Home Credit Credit Risk Model Stability (2024)</t>
  </si>
  <si>
    <t>Model stability / OOT monitoring testbed</t>
  </si>
  <si>
    <t>Relational, decision-dated tables</t>
  </si>
  <si>
    <t>Multi-year, weekly OOT splits</t>
  </si>
  <si>
    <t>Gini-stability metric design; PSI/drift experiments</t>
  </si>
  <si>
    <t>S-019</t>
  </si>
  <si>
    <t>Amex Default Prediction (2022)</t>
  </si>
  <si>
    <t>American Express via Kaggle</t>
  </si>
  <si>
    <t>Behavioural PD, utilization paths</t>
  </si>
  <si>
    <t>Customer-month statements (190 features)</t>
  </si>
  <si>
    <t>458,913 train customers, ~5.5M rows</t>
  </si>
  <si>
    <t>micro.behavioural_panel</t>
  </si>
  <si>
    <t>Best public behavioural card panel; anonymized features</t>
  </si>
  <si>
    <t>S-020</t>
  </si>
  <si>
    <t>PKDD'99 Berka Czech bank dataset</t>
  </si>
  <si>
    <t>CTU Prague relational repo</t>
  </si>
  <si>
    <t>Retail / transactions</t>
  </si>
  <si>
    <t>Transaction-feature behavioural PD</t>
  </si>
  <si>
    <t>4,500 accounts, 1.06M txns, 682 loans</t>
  </si>
  <si>
    <t>1993-1998</t>
  </si>
  <si>
    <t>Open (guest DB)</t>
  </si>
  <si>
    <t>MariaDB pull or Kaggle mirror</t>
  </si>
  <si>
    <t>micro.transactions</t>
  </si>
  <si>
    <t>Research use</t>
  </si>
  <si>
    <t>relational.fel.cvut.cz</t>
  </si>
  <si>
    <t>Teaching standard for transactional/relational features</t>
  </si>
  <si>
    <t>S-021</t>
  </si>
  <si>
    <t>South German Credit (corrected, UCI 522)</t>
  </si>
  <si>
    <t>UCI / Gromping</t>
  </si>
  <si>
    <t>Teaching scorecard</t>
  </si>
  <si>
    <t>Applicant-level, 1000 loans</t>
  </si>
  <si>
    <t>1970s-80s</t>
  </si>
  <si>
    <t>CC BY 4.0</t>
  </si>
  <si>
    <t>archive.ics.uci.edu</t>
  </si>
  <si>
    <t>Use instead of miscoded Statlog German Credit</t>
  </si>
  <si>
    <t>S-022</t>
  </si>
  <si>
    <t>Taiwan credit card default (UCI)</t>
  </si>
  <si>
    <t>UCI</t>
  </si>
  <si>
    <t>Teaching behavioural</t>
  </si>
  <si>
    <t>30k customers, 6m payment history</t>
  </si>
  <si>
    <t>2005</t>
  </si>
  <si>
    <t>Classic</t>
  </si>
  <si>
    <t>S-023</t>
  </si>
  <si>
    <t>Give Me Some Credit (Kaggle)</t>
  </si>
  <si>
    <t>Kaggle</t>
  </si>
  <si>
    <t>Teaching</t>
  </si>
  <si>
    <t>Applicant-level</t>
  </si>
  <si>
    <t>2011</t>
  </si>
  <si>
    <t>Non-commercial</t>
  </si>
  <si>
    <t>S-024</t>
  </si>
  <si>
    <t>AlfaBattle 2.0 card transactions</t>
  </si>
  <si>
    <t>Alfa-Bank via GitHub mirrors</t>
  </si>
  <si>
    <t>Cards / transactions</t>
  </si>
  <si>
    <t>Transaction-sequence PD</t>
  </si>
  <si>
    <t>4.3M transaction records</t>
  </si>
  <si>
    <t>~2019-20</t>
  </si>
  <si>
    <t>Open mirrors</t>
  </si>
  <si>
    <t>Unclear</t>
  </si>
  <si>
    <t>github.com</t>
  </si>
  <si>
    <t>Russian-language docs</t>
  </si>
  <si>
    <t>S-025</t>
  </si>
  <si>
    <t>Aggregate benchmark</t>
  </si>
  <si>
    <t>MIX Market archive (microfinance)</t>
  </si>
  <si>
    <t>World Bank Data Catalog</t>
  </si>
  <si>
    <t>MFI-level PAR30/90, write-off panel</t>
  </si>
  <si>
    <t>MFI-year, 100+ countries</t>
  </si>
  <si>
    <t>1999-2019</t>
  </si>
  <si>
    <t>Excel/ZIP download</t>
  </si>
  <si>
    <t>agg.mfi_panel</t>
  </si>
  <si>
    <t>datacatalog.worldbank.org</t>
  </si>
  <si>
    <t>Frozen but clean; global MFI complement to India trackers</t>
  </si>
  <si>
    <t>S-026</t>
  </si>
  <si>
    <t>Manheim Used Vehicle Value Index</t>
  </si>
  <si>
    <t>Cox Automotive</t>
  </si>
  <si>
    <t>Auto collateral</t>
  </si>
  <si>
    <t>LGD collateral paths</t>
  </si>
  <si>
    <t>Index</t>
  </si>
  <si>
    <t>Monthly + mid-month</t>
  </si>
  <si>
    <t>1995+</t>
  </si>
  <si>
    <t>Free download</t>
  </si>
  <si>
    <t>Spreadsheet download</t>
  </si>
  <si>
    <t>Once + monthly</t>
  </si>
  <si>
    <t>No formal open license</t>
  </si>
  <si>
    <t>site.manheim.com</t>
  </si>
  <si>
    <t>Auto LGD stress factor</t>
  </si>
  <si>
    <t>S-027</t>
  </si>
  <si>
    <t>Obligor-level PD</t>
  </si>
  <si>
    <t>NUS Credit Research Initiative (CRI)</t>
  </si>
  <si>
    <t>NUS RMI</t>
  </si>
  <si>
    <t>Corporate</t>
  </si>
  <si>
    <t>Point-in-time PD, DTD</t>
  </si>
  <si>
    <t>Firm-day, 90k+ listed firms</t>
  </si>
  <si>
    <t>Daily</t>
  </si>
  <si>
    <t>1990s+</t>
  </si>
  <si>
    <t>Registration (non-commercial)</t>
  </si>
  <si>
    <t>Portal download</t>
  </si>
  <si>
    <t>Selective (India universe)</t>
  </si>
  <si>
    <t>agg.firm_pd</t>
  </si>
  <si>
    <t>Non-commercial only</t>
  </si>
  <si>
    <t>nuscri.org</t>
  </si>
  <si>
    <t>Covers Indian listed firms - fastest India corporate PD benchmark</t>
  </si>
  <si>
    <t>S-028</t>
  </si>
  <si>
    <t>Rating events</t>
  </si>
  <si>
    <t>ratingshistory.info (SEC 17g-7 conversions)</t>
  </si>
  <si>
    <t>Independent (SEC filings)</t>
  </si>
  <si>
    <t>Corporate/SF</t>
  </si>
  <si>
    <t>Transition matrices, PD term structures</t>
  </si>
  <si>
    <t>Rating-event level</t>
  </si>
  <si>
    <t>Ongoing</t>
  </si>
  <si>
    <t>2010+ (~1y lag)</t>
  </si>
  <si>
    <t>ref.ratings_history</t>
  </si>
  <si>
    <t>Public regulatory filings</t>
  </si>
  <si>
    <t>ratingshistory.info</t>
  </si>
  <si>
    <t>Build-your-own migration matrices</t>
  </si>
  <si>
    <t>S-029</t>
  </si>
  <si>
    <t>Obligor features</t>
  </si>
  <si>
    <t>SEC EDGAR XBRL financial statements</t>
  </si>
  <si>
    <t>SEC</t>
  </si>
  <si>
    <t>Scorecard features (Altman-style)</t>
  </si>
  <si>
    <t>Filer-period</t>
  </si>
  <si>
    <t>2009+</t>
  </si>
  <si>
    <t>Bulk datasets</t>
  </si>
  <si>
    <t>Selective</t>
  </si>
  <si>
    <t>ref.financials</t>
  </si>
  <si>
    <t>Pair with bankruptcy DBs for labels</t>
  </si>
  <si>
    <t>S-030</t>
  </si>
  <si>
    <t>Default events</t>
  </si>
  <si>
    <t>FJC Integrated DB + Florida-UCLA-LoPucki BRD</t>
  </si>
  <si>
    <t>FJC / UCLA</t>
  </si>
  <si>
    <t>Bankruptcy event labels</t>
  </si>
  <si>
    <t>Case-level</t>
  </si>
  <si>
    <t>1980s+</t>
  </si>
  <si>
    <t>micro.default_events</t>
  </si>
  <si>
    <t>fjc.gov</t>
  </si>
  <si>
    <t>US corporate default labels for scorecards</t>
  </si>
  <si>
    <t>S-031</t>
  </si>
  <si>
    <t>S&amp;P annual global default &amp; transition study</t>
  </si>
  <si>
    <t>S&amp;P Global Ratings</t>
  </si>
  <si>
    <t>TTC PD, transition matrices</t>
  </si>
  <si>
    <t>Rating-cohort tables</t>
  </si>
  <si>
    <t>1981+ (2024-data ed. Mar 2025)</t>
  </si>
  <si>
    <t>Free (registration prompt)</t>
  </si>
  <si>
    <t>PDF + manual table digitize</t>
  </si>
  <si>
    <t>Digitize last 5 editions</t>
  </si>
  <si>
    <t>agg.anchor_series</t>
  </si>
  <si>
    <t>Copyright - cite, don't republish</t>
  </si>
  <si>
    <t>spglobal.com</t>
  </si>
  <si>
    <t>Free global corporate PD calibration layer</t>
  </si>
  <si>
    <t>S-032</t>
  </si>
  <si>
    <t>Moody's annual default study (corporate default &amp; recovery)</t>
  </si>
  <si>
    <t>Moody's</t>
  </si>
  <si>
    <t>PD to 1920, recovery by seniority</t>
  </si>
  <si>
    <t>Tables</t>
  </si>
  <si>
    <t>1920+</t>
  </si>
  <si>
    <t>Registration / mirrors</t>
  </si>
  <si>
    <t>PDF digitize</t>
  </si>
  <si>
    <t>Latest + best mirror</t>
  </si>
  <si>
    <t>Copyright</t>
  </si>
  <si>
    <t>ratings.moodys.com</t>
  </si>
  <si>
    <t>Seniority-level LGD anchors; 2026 edition unconfirmed</t>
  </si>
  <si>
    <t>S-033</t>
  </si>
  <si>
    <t>Fitch + Moody's muni + Moody's project finance studies</t>
  </si>
  <si>
    <t>Fitch / Moody's</t>
  </si>
  <si>
    <t>Corporate, muni, infra</t>
  </si>
  <si>
    <t>Niche PD/LGD (muni recovery ~67%; PF ultimate recovery ~80%)</t>
  </si>
  <si>
    <t>Varies</t>
  </si>
  <si>
    <t>Latest editions</t>
  </si>
  <si>
    <t>fitchratings.com</t>
  </si>
  <si>
    <t>Sec 2.11 - re-verify current editions</t>
  </si>
  <si>
    <t>S-034</t>
  </si>
  <si>
    <t>GEMs Risk Database statistics</t>
  </si>
  <si>
    <t>GEMs Consortium (25 MDBs/DFIs)</t>
  </si>
  <si>
    <t>EM wholesale/sovereign</t>
  </si>
  <si>
    <t>EM PD + recovery priors</t>
  </si>
  <si>
    <t>Counterpart-type x region x sector tables</t>
  </si>
  <si>
    <t>Annual updates</t>
  </si>
  <si>
    <t>1994-2024</t>
  </si>
  <si>
    <t>Web tables / PDF digitize</t>
  </si>
  <si>
    <t>Once + Oct updates</t>
  </si>
  <si>
    <t>gemsriskdatabase.org</t>
  </si>
  <si>
    <t>Private counterparts: default 3.54%, recovery 72.9%</t>
  </si>
  <si>
    <t>S-035</t>
  </si>
  <si>
    <t>EIB sovereign &amp; sovereign-guaranteed default/recovery stats</t>
  </si>
  <si>
    <t>EIB</t>
  </si>
  <si>
    <t>Sovereign</t>
  </si>
  <si>
    <t>Sovereign LGD</t>
  </si>
  <si>
    <t>PDF</t>
  </si>
  <si>
    <t>eib.org</t>
  </si>
  <si>
    <t>Companion to GEMs</t>
  </si>
  <si>
    <t>S-036</t>
  </si>
  <si>
    <t>ICC Trade Register</t>
  </si>
  <si>
    <t>ICC</t>
  </si>
  <si>
    <t>Trade finance</t>
  </si>
  <si>
    <t>Product-level PD + LGD</t>
  </si>
  <si>
    <t>Product x region tables</t>
  </si>
  <si>
    <t>2018-2024</t>
  </si>
  <si>
    <t>Free summary (full tables paid)</t>
  </si>
  <si>
    <t>Copyright summary</t>
  </si>
  <si>
    <t>iccwbo.org</t>
  </si>
  <si>
    <t>Only public trade-product PD+LGD</t>
  </si>
  <si>
    <t>S-037</t>
  </si>
  <si>
    <t>BoC-BoE Sovereign Default Database + Cruces-Trebesch haircuts</t>
  </si>
  <si>
    <t>Bank of Canada / BoE</t>
  </si>
  <si>
    <t>Default events + haircut LGD</t>
  </si>
  <si>
    <t>Country-year</t>
  </si>
  <si>
    <t>1960+</t>
  </si>
  <si>
    <t>Excel download</t>
  </si>
  <si>
    <t>bankofcanada.ca</t>
  </si>
  <si>
    <t>Sovereign PD/LGD priors</t>
  </si>
  <si>
    <t>S-038</t>
  </si>
  <si>
    <t>Global Credit Data free library (LGD/EAD/downturn reports + platform docs)</t>
  </si>
  <si>
    <t>GCD</t>
  </si>
  <si>
    <t>Wholesale</t>
  </si>
  <si>
    <t>LGD/EAD priors + wholesale default-data schema</t>
  </si>
  <si>
    <t>Segment tables</t>
  </si>
  <si>
    <t>Periodic (2026: Aircraft RR, Funds benchmarking)</t>
  </si>
  <si>
    <t>Free reports (raw data member-only, banks only)</t>
  </si>
  <si>
    <t>Once + new releases</t>
  </si>
  <si>
    <t>Semiannual</t>
  </si>
  <si>
    <t>agg.anchor_series + ref.schemas</t>
  </si>
  <si>
    <t>Raw pool: Basel-compliant FI members only, give-to-get</t>
  </si>
  <si>
    <t>globalcreditdata.org</t>
  </si>
  <si>
    <t>Unsecured LGD ~27%, secured ~22%, senior 26%/sub 38%, TTR ~1.2y</t>
  </si>
  <si>
    <t>S-039</t>
  </si>
  <si>
    <t>Vendor free tier</t>
  </si>
  <si>
    <t>Credit Benchmark Credit Consensus Indicators</t>
  </si>
  <si>
    <t>Credit Benchmark</t>
  </si>
  <si>
    <t>Consensus-PD trend monitoring</t>
  </si>
  <si>
    <t>Sector/geography indices</t>
  </si>
  <si>
    <t>~2015+</t>
  </si>
  <si>
    <t>Free aggregates (entity feed paid)</t>
  </si>
  <si>
    <t>PDF/CSV</t>
  </si>
  <si>
    <t>Paid entity-level</t>
  </si>
  <si>
    <t>creditbenchmark.com</t>
  </si>
  <si>
    <t>40+ banks' internal ratings pooled</t>
  </si>
  <si>
    <t>S-040</t>
  </si>
  <si>
    <t>ECBC Covered Bond Label HTT</t>
  </si>
  <si>
    <t>ECBC</t>
  </si>
  <si>
    <t>EU mortgage pools</t>
  </si>
  <si>
    <t>Pool LTV distributions, arrears strata</t>
  </si>
  <si>
    <t>Programme-quarter Excel</t>
  </si>
  <si>
    <t>~2016+</t>
  </si>
  <si>
    <t>Open, no login</t>
  </si>
  <si>
    <t>Excel downloads</t>
  </si>
  <si>
    <t>Selective programmes</t>
  </si>
  <si>
    <t>agg.pool_series</t>
  </si>
  <si>
    <t>coveredbondlabel.com</t>
  </si>
  <si>
    <t>Mortgage strata where no loan-level RMBS exists</t>
  </si>
  <si>
    <t>S-041</t>
  </si>
  <si>
    <t>Reference model</t>
  </si>
  <si>
    <t>Japan CRD Association (SME consortium)</t>
  </si>
  <si>
    <t>CRD Association</t>
  </si>
  <si>
    <t>Consortium design reference</t>
  </si>
  <si>
    <t>2001+</t>
  </si>
  <si>
    <t>Member-only</t>
  </si>
  <si>
    <t>Closed</t>
  </si>
  <si>
    <t>crd-office.net</t>
  </si>
  <si>
    <t>Design template for SME data pooling</t>
  </si>
  <si>
    <t>S-042</t>
  </si>
  <si>
    <t>ELFA MLFI-25 + Equifax (ex-PayNet) SBLI/SBDI</t>
  </si>
  <si>
    <t>ELFA / Equifax</t>
  </si>
  <si>
    <t>Equipment &amp; small business</t>
  </si>
  <si>
    <t>Delinquency/default indices</t>
  </si>
  <si>
    <t>~2005+</t>
  </si>
  <si>
    <t>Free releases</t>
  </si>
  <si>
    <t>Web/PDF</t>
  </si>
  <si>
    <t>elfaonline.org</t>
  </si>
  <si>
    <t>Sec 2.11 - re-verify</t>
  </si>
  <si>
    <t>S-043</t>
  </si>
  <si>
    <t>Ag credit: KC Fed survey + Farm Credit System statements</t>
  </si>
  <si>
    <t>KC Fed / FCA</t>
  </si>
  <si>
    <t>Agriculture</t>
  </si>
  <si>
    <t>Repayment indices, nonaccrual</t>
  </si>
  <si>
    <t>Survey/index</t>
  </si>
  <si>
    <t>Web</t>
  </si>
  <si>
    <t>kansascityfed.org</t>
  </si>
  <si>
    <t>Sec 2.11</t>
  </si>
  <si>
    <t>S-044</t>
  </si>
  <si>
    <t>Leveraged loan default summaries + revolver EAD papers</t>
  </si>
  <si>
    <t>LSTA/LCD, Fed researchers, Moody's</t>
  </si>
  <si>
    <t>Lev loans, corporate EAD</t>
  </si>
  <si>
    <t>Default rates; CCF/utilization anchors</t>
  </si>
  <si>
    <t>Articles/papers</t>
  </si>
  <si>
    <t>Monthly / one-off</t>
  </si>
  <si>
    <t>Index 1990s+</t>
  </si>
  <si>
    <t>Free</t>
  </si>
  <si>
    <t>Manual collection</t>
  </si>
  <si>
    <t>lsta.org</t>
  </si>
  <si>
    <t>Credit Line Channel, NY Fed SR942, Boston Fed 2026, Moody's credit-line study</t>
  </si>
  <si>
    <t>S-045</t>
  </si>
  <si>
    <t>Regulatory disclosure</t>
  </si>
  <si>
    <t>EBA Pillar 3 Data Hub (CR6/CR10 etc.)</t>
  </si>
  <si>
    <t>EBA</t>
  </si>
  <si>
    <t>Wholesale IRB</t>
  </si>
  <si>
    <t>Cross-bank PD/LGD/RW/EL panel</t>
  </si>
  <si>
    <t>Bank x exposure class x PD band</t>
  </si>
  <si>
    <t>Semiannual/quarterly</t>
  </si>
  <si>
    <t>Jun 2025 ref dates onward</t>
  </si>
  <si>
    <t>Bulk XBRL-CSV download</t>
  </si>
  <si>
    <t>All available ref dates</t>
  </si>
  <si>
    <t>agg.irb_parameters</t>
  </si>
  <si>
    <t>eba.europa.eu</t>
  </si>
  <si>
    <t>LIVE 26 Jan 2026 - flagship new infrastructure</t>
  </si>
  <si>
    <t>S-046</t>
  </si>
  <si>
    <t>EBA EU-wide stress test CSVs (2025 + prior)</t>
  </si>
  <si>
    <t>All</t>
  </si>
  <si>
    <t>Stress benchmarks (PD/LGD/stage by bank)</t>
  </si>
  <si>
    <t>Bank-level CSV</t>
  </si>
  <si>
    <t>Biennial</t>
  </si>
  <si>
    <t>2014+ exercises</t>
  </si>
  <si>
    <t>2021/2023/2025</t>
  </si>
  <si>
    <t>agg.stress_results</t>
  </si>
  <si>
    <t>IRB CSV = labelled benchmark table</t>
  </si>
  <si>
    <t>S-047</t>
  </si>
  <si>
    <t>EBA EU-wide Transparency Exercise</t>
  </si>
  <si>
    <t>Bank asset quality incl. IFRS9 stages</t>
  </si>
  <si>
    <t>119 banks x 4 ref dates</t>
  </si>
  <si>
    <t>Annual (Dec)</t>
  </si>
  <si>
    <t>2011+</t>
  </si>
  <si>
    <t>Full history</t>
  </si>
  <si>
    <t>agg.bank_panel</t>
  </si>
  <si>
    <t>Workhorse bank-level dataset</t>
  </si>
  <si>
    <t>S-048</t>
  </si>
  <si>
    <t>EBA Credit Risk Benchmarking report</t>
  </si>
  <si>
    <t>IRB parameter dispersion (PD/LGD/CCF)</t>
  </si>
  <si>
    <t>Asset-class tables</t>
  </si>
  <si>
    <t>Annual (latest Jun 2026)</t>
  </si>
  <si>
    <t>2019+</t>
  </si>
  <si>
    <t>PDF/Excel digitize</t>
  </si>
  <si>
    <t>Last 3 editions</t>
  </si>
  <si>
    <t>'What is a reasonable PD/LGD' answer</t>
  </si>
  <si>
    <t>S-049</t>
  </si>
  <si>
    <t>EBA Risk Dashboard + risk-parameter annex</t>
  </si>
  <si>
    <t>Stage-2 share, NPL, CoR, coverage by country</t>
  </si>
  <si>
    <t>Country-quarter</t>
  </si>
  <si>
    <t>2014+</t>
  </si>
  <si>
    <t>Interactive Excel</t>
  </si>
  <si>
    <t>agg.stage_coverage</t>
  </si>
  <si>
    <t>Q1-26: Stage 2 NFC 12.8%, HH 8.5%</t>
  </si>
  <si>
    <t>S-050</t>
  </si>
  <si>
    <t>ECB Supervisory Banking Statistics</t>
  </si>
  <si>
    <t>ECB</t>
  </si>
  <si>
    <t>Stage 1/2/3 shares + coverage by country/size</t>
  </si>
  <si>
    <t>Country/size-class quarter</t>
  </si>
  <si>
    <t>2015+</t>
  </si>
  <si>
    <t>CSV (ECB Data Portal)</t>
  </si>
  <si>
    <t>data.ecb.europa.eu</t>
  </si>
  <si>
    <t>IFRS9 stage-migration benchmarks</t>
  </si>
  <si>
    <t>S-051</t>
  </si>
  <si>
    <t>Methodology</t>
  </si>
  <si>
    <t>EBA IFRS 9 monitoring reports</t>
  </si>
  <si>
    <t>ECL methodology</t>
  </si>
  <si>
    <t>SICR/ECL design practices</t>
  </si>
  <si>
    <t>Reports</t>
  </si>
  <si>
    <t>2017+</t>
  </si>
  <si>
    <t>Ad hoc</t>
  </si>
  <si>
    <t>docs library</t>
  </si>
  <si>
    <t>Free ECL methodology handbook</t>
  </si>
  <si>
    <t>S-052</t>
  </si>
  <si>
    <t>Schema template</t>
  </si>
  <si>
    <t>ECB AnaCredit documentation (+ openNPL / EBA NPL templates)</t>
  </si>
  <si>
    <t>ECB / EBA / Open Risk</t>
  </si>
  <si>
    <t>Schema</t>
  </si>
  <si>
    <t>Facility-level data model; defaulted-asset schema</t>
  </si>
  <si>
    <t>~100 attributes; NPL templates</t>
  </si>
  <si>
    <t>PDF/GitHub</t>
  </si>
  <si>
    <t>ref.schemas</t>
  </si>
  <si>
    <t>ecb.europa.eu</t>
  </si>
  <si>
    <t>Build target schema; openNPL = Django implementation</t>
  </si>
  <si>
    <t>S-053</t>
  </si>
  <si>
    <t>Banca d'Italia bad-loan recovery-rate notes (No. 48)</t>
  </si>
  <si>
    <t>Banca d'Italia</t>
  </si>
  <si>
    <t>Corporate/NPL</t>
  </si>
  <si>
    <t>Workout LGD time series</t>
  </si>
  <si>
    <t>Year x collateral x channel + Excel appendix</t>
  </si>
  <si>
    <t>2006-2024</t>
  </si>
  <si>
    <t>Excel/PDF</t>
  </si>
  <si>
    <t>Full series</t>
  </si>
  <si>
    <t>bancaditalia.it</t>
  </si>
  <si>
    <t>2024 avg recovery 41% (sec 44 / unsec 37); sale price 24% GBV</t>
  </si>
  <si>
    <t>S-054</t>
  </si>
  <si>
    <t>Stress/scenario</t>
  </si>
  <si>
    <t>Fed DFAST results + supervisory scenarios</t>
  </si>
  <si>
    <t>Federal Reserve</t>
  </si>
  <si>
    <t>All US</t>
  </si>
  <si>
    <t>Stressed loss rates + macro paths</t>
  </si>
  <si>
    <t>Bank/portfolio + scenario variables</t>
  </si>
  <si>
    <t>2013+</t>
  </si>
  <si>
    <t>CSV/PDF</t>
  </si>
  <si>
    <t>agg.stress_results + scen.macro_paths</t>
  </si>
  <si>
    <t>federalreserve.gov</t>
  </si>
  <si>
    <t>2026: ~$708bn projected losses</t>
  </si>
  <si>
    <t>S-055</t>
  </si>
  <si>
    <t>Fed charge-off &amp; delinquency rates (+FRED)</t>
  </si>
  <si>
    <t>Macro-satellite fitting series</t>
  </si>
  <si>
    <t>Loan type x bank size, quarterly</t>
  </si>
  <si>
    <t>1985+</t>
  </si>
  <si>
    <t>FRED API</t>
  </si>
  <si>
    <t>Best free PD/LGD-to-macro series</t>
  </si>
  <si>
    <t>S-056</t>
  </si>
  <si>
    <t>Regulatory filings</t>
  </si>
  <si>
    <t>FFIEC Call Reports (RC-C/RC-N/RI-B)</t>
  </si>
  <si>
    <t>FFIEC</t>
  </si>
  <si>
    <t>All US banks</t>
  </si>
  <si>
    <t>Bank-level PD + recovery proxies</t>
  </si>
  <si>
    <t>Bank-quarter</t>
  </si>
  <si>
    <t>1984+</t>
  </si>
  <si>
    <t>cdr.ffiec.gov</t>
  </si>
  <si>
    <t>Charge-offs AND recoveries</t>
  </si>
  <si>
    <t>S-057</t>
  </si>
  <si>
    <t>NCUA credit union call reports</t>
  </si>
  <si>
    <t>NCUA</t>
  </si>
  <si>
    <t>Credit unions</t>
  </si>
  <si>
    <t>Delinquency/charge-off by loan type</t>
  </si>
  <si>
    <t>CU-quarter ZIPs</t>
  </si>
  <si>
    <t>Bulk ZIPs</t>
  </si>
  <si>
    <t>ncua.gov</t>
  </si>
  <si>
    <t>S-058</t>
  </si>
  <si>
    <t>FDIC BankFind Suite API + QBP</t>
  </si>
  <si>
    <t>FDIC</t>
  </si>
  <si>
    <t>US banks</t>
  </si>
  <si>
    <t>Loss cross-sections</t>
  </si>
  <si>
    <t>1992+</t>
  </si>
  <si>
    <t>REST API</t>
  </si>
  <si>
    <t>banks.data.fdic.gov</t>
  </si>
  <si>
    <t>No-auth API</t>
  </si>
  <si>
    <t>S-059</t>
  </si>
  <si>
    <t>Philadelphia Fed large-bank card &amp; mortgage data (Y-14M)</t>
  </si>
  <si>
    <t>Philadelphia Fed</t>
  </si>
  <si>
    <t>Cards, Mortgage</t>
  </si>
  <si>
    <t>EAD/utilization/payment-rate anchors by score band</t>
  </si>
  <si>
    <t>Score-band series</t>
  </si>
  <si>
    <t>CSV + FRED</t>
  </si>
  <si>
    <t>philadelphiafed.org</t>
  </si>
  <si>
    <t>Best public EAD/CCF anchor; 67 new series Jul 2025</t>
  </si>
  <si>
    <t>S-060</t>
  </si>
  <si>
    <t>CFPB Consumer Credit Trends + CARD Act report</t>
  </si>
  <si>
    <t>CFPB</t>
  </si>
  <si>
    <t>Consumer</t>
  </si>
  <si>
    <t>Origination mix, utilization/CLIP/payment tiers</t>
  </si>
  <si>
    <t>Score-tier series</t>
  </si>
  <si>
    <t>Ongoing / biennial</t>
  </si>
  <si>
    <t>2005+ (CARD Act 2025 ed.)</t>
  </si>
  <si>
    <t>Full</t>
  </si>
  <si>
    <t>consumerfinance.gov</t>
  </si>
  <si>
    <t>15% of GP cardholders minimum-paying (2025)</t>
  </si>
  <si>
    <t>S-061</t>
  </si>
  <si>
    <t>NY Fed Household Debt &amp; Credit (CCP aggregates)</t>
  </si>
  <si>
    <t>NY Fed</t>
  </si>
  <si>
    <t>Delinquency transition rates by product</t>
  </si>
  <si>
    <t>Product-quarter</t>
  </si>
  <si>
    <t>1999+</t>
  </si>
  <si>
    <t>Excel</t>
  </si>
  <si>
    <t>newyorkfed.org</t>
  </si>
  <si>
    <t>Micro panel restricted</t>
  </si>
  <si>
    <t>S-062</t>
  </si>
  <si>
    <t>FR Y-14Q Schedule H.1 instructions</t>
  </si>
  <si>
    <t>Wholesale schema</t>
  </si>
  <si>
    <t>Facility-level field definitions</t>
  </si>
  <si>
    <t>Field spec</t>
  </si>
  <si>
    <t>reginfo.gov</t>
  </si>
  <si>
    <t>What a bank corporate credit system must hold</t>
  </si>
  <si>
    <t>S-063</t>
  </si>
  <si>
    <t>OCC Mortgage Metrics + FSA student aid data</t>
  </si>
  <si>
    <t>OCC / FSA</t>
  </si>
  <si>
    <t>Mortgage, Student</t>
  </si>
  <si>
    <t>Servicer performance; cohort default rates</t>
  </si>
  <si>
    <t>Aggregate</t>
  </si>
  <si>
    <t>2008+</t>
  </si>
  <si>
    <t>studentaid.gov</t>
  </si>
  <si>
    <t>FSA: institution-level nonpayment rates since Jul 2025</t>
  </si>
  <si>
    <t>S-064</t>
  </si>
  <si>
    <t>BoE Bank Capital Stress Test 2025 + scenario key elements</t>
  </si>
  <si>
    <t>Bank of England</t>
  </si>
  <si>
    <t>UK all</t>
  </si>
  <si>
    <t>Bank-level stressed impairments + macro paths</t>
  </si>
  <si>
    <t>7 banks, bank-level</t>
  </si>
  <si>
    <t>2014+ (2025 pub Dec 2025)</t>
  </si>
  <si>
    <t>PDF/Excel</t>
  </si>
  <si>
    <t>2025 + archive</t>
  </si>
  <si>
    <t>bankofengland.co.uk</t>
  </si>
  <si>
    <t>2026 expected desk-based aggregate-only</t>
  </si>
  <si>
    <t>S-065</t>
  </si>
  <si>
    <t>Cross-country</t>
  </si>
  <si>
    <t>IMF Financial Soundness Indicators</t>
  </si>
  <si>
    <t>IMF</t>
  </si>
  <si>
    <t>Country-level</t>
  </si>
  <si>
    <t>NPL/provisions/capital panel</t>
  </si>
  <si>
    <t>SDMX API</t>
  </si>
  <si>
    <t>agg.country_panel</t>
  </si>
  <si>
    <t>data.imf.org</t>
  </si>
  <si>
    <t>India included</t>
  </si>
  <si>
    <t>S-066</t>
  </si>
  <si>
    <t>OECD Financing SMEs Scoreboard 2026</t>
  </si>
  <si>
    <t>OECD</t>
  </si>
  <si>
    <t>SME NPL rates ~50 countries</t>
  </si>
  <si>
    <t>2007-2024</t>
  </si>
  <si>
    <t>oecd.org</t>
  </si>
  <si>
    <t>SME benchmark corridor</t>
  </si>
  <si>
    <t>S-067</t>
  </si>
  <si>
    <t>BIS credit to NFS, credit gaps, DSRs</t>
  </si>
  <si>
    <t>BIS</t>
  </si>
  <si>
    <t>Macro</t>
  </si>
  <si>
    <t>Early-warning features</t>
  </si>
  <si>
    <t>1960s+</t>
  </si>
  <si>
    <t>Bulk CSV/SDMX</t>
  </si>
  <si>
    <t>data.bis.org</t>
  </si>
  <si>
    <t>S-068</t>
  </si>
  <si>
    <t>World Bank GFDD</t>
  </si>
  <si>
    <t>World Bank</t>
  </si>
  <si>
    <t>Macro-financial structure</t>
  </si>
  <si>
    <t>Structure indicators</t>
  </si>
  <si>
    <t>Static (to 2021)</t>
  </si>
  <si>
    <t>1960-2021</t>
  </si>
  <si>
    <t>CC BY</t>
  </si>
  <si>
    <t>worldbank.org</t>
  </si>
  <si>
    <t>Stale - structure only</t>
  </si>
  <si>
    <t>S-069</t>
  </si>
  <si>
    <t>Doing Business Resolving Insolvency archive + B-READY</t>
  </si>
  <si>
    <t>Corporate LGD</t>
  </si>
  <si>
    <t>Recovery cents-on-dollar by country</t>
  </si>
  <si>
    <t>Static (archive)</t>
  </si>
  <si>
    <t>2004-2019 (B-READY 2025)</t>
  </si>
  <si>
    <t>Archive download</t>
  </si>
  <si>
    <t>archive.doingbusiness.org</t>
  </si>
  <si>
    <t>Cross-country LGD prior + regime scores</t>
  </si>
  <si>
    <t>S-070</t>
  </si>
  <si>
    <t>Stress anchor</t>
  </si>
  <si>
    <t>Laeven-Valencia systemic banking crises DB (2026 update)</t>
  </si>
  <si>
    <t>Stress tails</t>
  </si>
  <si>
    <t>Peak NPL, fiscal cost, output loss per crisis</t>
  </si>
  <si>
    <t>Crisis-episode level</t>
  </si>
  <si>
    <t>Updated 2026</t>
  </si>
  <si>
    <t>1970-2025</t>
  </si>
  <si>
    <t>WP dataset download</t>
  </si>
  <si>
    <t>agg.crisis_episodes</t>
  </si>
  <si>
    <t>imf.org</t>
  </si>
  <si>
    <t>Median peak NPL ~11% AE / ~30% EM</t>
  </si>
  <si>
    <t>S-071</t>
  </si>
  <si>
    <t>ESRB European financial crises database</t>
  </si>
  <si>
    <t>ESRB/ECB</t>
  </si>
  <si>
    <t>Stress</t>
  </si>
  <si>
    <t>EU crisis episode dating</t>
  </si>
  <si>
    <t>Episode-level</t>
  </si>
  <si>
    <t>Static (2021)</t>
  </si>
  <si>
    <t>1970-2021</t>
  </si>
  <si>
    <t>esrb.europa.eu</t>
  </si>
  <si>
    <t>Scenario dating labels</t>
  </si>
  <si>
    <t>S-072</t>
  </si>
  <si>
    <t>NGFS climate scenarios (Phase V + short-term)</t>
  </si>
  <si>
    <t>NGFS / IIASA</t>
  </si>
  <si>
    <t>Climate</t>
  </si>
  <si>
    <t>Climate-credit stress paths</t>
  </si>
  <si>
    <t>Scenario variables by sector/country</t>
  </si>
  <si>
    <t>Per phase</t>
  </si>
  <si>
    <t>Projections to 2100; ST 5y</t>
  </si>
  <si>
    <t>IIASA portal download</t>
  </si>
  <si>
    <t>Current vintages</t>
  </si>
  <si>
    <t>scen.climate_paths</t>
  </si>
  <si>
    <t>ngfs.net</t>
  </si>
  <si>
    <t>Phase VI end-2026 - physical-risk overhaul</t>
  </si>
  <si>
    <t>S-073</t>
  </si>
  <si>
    <t>EM</t>
  </si>
  <si>
    <t>Brazil BCB: SGS API + SCR.data + IF.data</t>
  </si>
  <si>
    <t>Banco Central do Brasil</t>
  </si>
  <si>
    <t>EM comparator</t>
  </si>
  <si>
    <t>Delinquency by product/state/segment</t>
  </si>
  <si>
    <t>~700k monthly series from credit register</t>
  </si>
  <si>
    <t>Jun 2012+ (SGS older)</t>
  </si>
  <si>
    <t>REST API (no key)</t>
  </si>
  <si>
    <t>Selective series</t>
  </si>
  <si>
    <t>agg.em_comparators</t>
  </si>
  <si>
    <t>opendata.bcb.gov.br</t>
  </si>
  <si>
    <t>Design benchmark for credit-register data products</t>
  </si>
  <si>
    <t>S-074</t>
  </si>
  <si>
    <t>Other EM regulators (CNBV, SBS, CMF, SFC, BDDK, OJK, BSP, SARB BA900, NCR, CBK)</t>
  </si>
  <si>
    <t>Various</t>
  </si>
  <si>
    <t>EM comparators</t>
  </si>
  <si>
    <t>NPL by product/sector/bank</t>
  </si>
  <si>
    <t>Country tables</t>
  </si>
  <si>
    <t>Monthly/quarterly</t>
  </si>
  <si>
    <t>Web/Excel per regulator</t>
  </si>
  <si>
    <t>bddk.org.tr</t>
  </si>
  <si>
    <t>Split into separate rows if/when used</t>
  </si>
  <si>
    <t>S-075</t>
  </si>
  <si>
    <t>Access programme</t>
  </si>
  <si>
    <t>EU credit-register research access (Bundesbank RDSC, BdE BELab, BdP BPLIM, BdF/CASD)</t>
  </si>
  <si>
    <t>NCBs</t>
  </si>
  <si>
    <t>Wholesale micro</t>
  </si>
  <si>
    <t>Registry-grade loan-level methodology work</t>
  </si>
  <si>
    <t>Loan-level (controlled)</t>
  </si>
  <si>
    <t>Approved research projects</t>
  </si>
  <si>
    <t>Application process</t>
  </si>
  <si>
    <t>Controlled environments; BPLIM has remote execution</t>
  </si>
  <si>
    <t>bplim.bportugal.pt</t>
  </si>
  <si>
    <t>Develop methodology in EU, transfer method (not data) to India</t>
  </si>
  <si>
    <t>S-076</t>
  </si>
  <si>
    <t>India</t>
  </si>
  <si>
    <t>Regulatory report</t>
  </si>
  <si>
    <t>RBI Financial Stability Report (semiannual)</t>
  </si>
  <si>
    <t>RBI</t>
  </si>
  <si>
    <t>All India</t>
  </si>
  <si>
    <t>Stress anchors, SMA staging, sector GNPA, scenario annex</t>
  </si>
  <si>
    <t>System/sector/large-borrower tables</t>
  </si>
  <si>
    <t>2010+ (latest Jun 2026)</t>
  </si>
  <si>
    <t>Open (PDFs bot-gated)</t>
  </si>
  <si>
    <t>Manual download + table extract</t>
  </si>
  <si>
    <t>10y backfill</t>
  </si>
  <si>
    <t>agg.india_anchor_series + scen.macro_paths</t>
  </si>
  <si>
    <t>rbidocs.rbi.org.in</t>
  </si>
  <si>
    <t>GNPA 1.8% Mar-26; PSB retail SMA 9.4%; adverse CRAR ~13%</t>
  </si>
  <si>
    <t>S-077</t>
  </si>
  <si>
    <t>RBI Report on Trend &amp; Progress of Banking</t>
  </si>
  <si>
    <t>Recovery by channel, NPA movement, slippage</t>
  </si>
  <si>
    <t>Annual tables</t>
  </si>
  <si>
    <t>PDF extract</t>
  </si>
  <si>
    <t>10y</t>
  </si>
  <si>
    <t>agg.india_anchor_series</t>
  </si>
  <si>
    <t>rbi.org.in</t>
  </si>
  <si>
    <t>FY25: IBC 37%, SARFAESI 31.5%, Lok Adalat 2.4%</t>
  </si>
  <si>
    <t>S-078</t>
  </si>
  <si>
    <t>Statistical portal</t>
  </si>
  <si>
    <t>RBI DBIE/CIMS: BSR-1, sectoral deployment, STRBI</t>
  </si>
  <si>
    <t>District/sector credit, interest-rate buckets, bank-wise annual</t>
  </si>
  <si>
    <t>District/sector/bank series</t>
  </si>
  <si>
    <t>Quarterly/monthly/annual</t>
  </si>
  <si>
    <t>BSR from 1972</t>
  </si>
  <si>
    <t>Portal CSV/XLSX export</t>
  </si>
  <si>
    <t>Full available history</t>
  </si>
  <si>
    <t>agg.india_geo_panel</t>
  </si>
  <si>
    <t>data.rbi.org.in</t>
  </si>
  <si>
    <t>Rate-bucket cut = closest public risk-based-pricing data</t>
  </si>
  <si>
    <t>S-079</t>
  </si>
  <si>
    <t>Government data</t>
  </si>
  <si>
    <t>data.gov.in NPA datasets + parliamentary question annexures</t>
  </si>
  <si>
    <t>GoI / Parliament</t>
  </si>
  <si>
    <t>Bank-wise NPA, write-offs, recovery</t>
  </si>
  <si>
    <t>Bank-year tables</t>
  </si>
  <si>
    <t>CSV/PDF (eparlib)</t>
  </si>
  <si>
    <t>Full available</t>
  </si>
  <si>
    <t>agg.bank_panel_india</t>
  </si>
  <si>
    <t>data.gov.in</t>
  </si>
  <si>
    <t>Write-offs Rs 8.9 lakh cr (5y + H1FY26)</t>
  </si>
  <si>
    <t>S-080</t>
  </si>
  <si>
    <t>IBBI quarterly newsletters - Table 5 case-level CIRP outcomes</t>
  </si>
  <si>
    <t>IBBI</t>
  </si>
  <si>
    <t>Corporate India</t>
  </si>
  <si>
    <t>Workout LGD micro data (company-named)</t>
  </si>
  <si>
    <t>Case-level: claims, liq/fair value, realisation, dates</t>
  </si>
  <si>
    <t>2017+ (~1,400 resolutions)</t>
  </si>
  <si>
    <t>PDF table extraction</t>
  </si>
  <si>
    <t>ALL quarters (flagship backfill)</t>
  </si>
  <si>
    <t>micro.default_events + micro.recovery_cashflows</t>
  </si>
  <si>
    <t>ibbi.gov.in</t>
  </si>
  <si>
    <t>India's only public workout-LGD micro dataset</t>
  </si>
  <si>
    <t>S-081</t>
  </si>
  <si>
    <t>NeSL default statistics (IU newsletters)</t>
  </si>
  <si>
    <t>NeSL</t>
  </si>
  <si>
    <t>Corporate/MSME India</t>
  </si>
  <si>
    <t>Contractual default incidence by ticket size/segment</t>
  </si>
  <si>
    <t>~2020+</t>
  </si>
  <si>
    <t>All editions</t>
  </si>
  <si>
    <t>nesl.co.in</t>
  </si>
  <si>
    <t>Corporate defaults ~3.75% of corporate debt</t>
  </si>
  <si>
    <t>S-082</t>
  </si>
  <si>
    <t>Default registry</t>
  </si>
  <si>
    <t>CIC public defaulter registries (CIBIL, Experian, CRIF, Equifax)</t>
  </si>
  <si>
    <t>CICs per RBI Master Direction</t>
  </si>
  <si>
    <t>Default labels: suit-filed &gt;=Rs 1 cr, wilful &gt;=Rs 25 lakh</t>
  </si>
  <si>
    <t>Borrower-level (search-only)</t>
  </si>
  <si>
    <t>Monthly submissions</t>
  </si>
  <si>
    <t>Regime since Nov 2024 (older archives)</t>
  </si>
  <si>
    <t>Search-only, no bulk</t>
  </si>
  <si>
    <t>Careful throttled search (Experian most tolerant; CIBIL blocks bots)</t>
  </si>
  <si>
    <t>Protocol + legal review first</t>
  </si>
  <si>
    <t>ref.entities + micro.default_events</t>
  </si>
  <si>
    <t>ToS caution</t>
  </si>
  <si>
    <t>suit.experian.in</t>
  </si>
  <si>
    <t>Public borrower-level default data for India corporates</t>
  </si>
  <si>
    <t>S-083</t>
  </si>
  <si>
    <t>Bond reference</t>
  </si>
  <si>
    <t>NSDL indiabondinfo + CDSL corporate bond DBs</t>
  </si>
  <si>
    <t>NSDL/CDSL</t>
  </si>
  <si>
    <t>Corporate bonds India</t>
  </si>
  <si>
    <t>ISIN terms, rating details</t>
  </si>
  <si>
    <t>ISIN-level</t>
  </si>
  <si>
    <t>Open (no bulk)</t>
  </si>
  <si>
    <t>Per-ISIN scrape</t>
  </si>
  <si>
    <t>Selective universe</t>
  </si>
  <si>
    <t>ref.instruments_bonds</t>
  </si>
  <si>
    <t>indiabondinfo.nsdl.com</t>
  </si>
  <si>
    <t>Rating-history depth unverified</t>
  </si>
  <si>
    <t>S-084</t>
  </si>
  <si>
    <t>NSE/BSE daily CRA rating feeds (Aug 2025+) + Reg 57 payment intimations</t>
  </si>
  <si>
    <t>Exchanges / CRAs</t>
  </si>
  <si>
    <t>Daily rating actions incl. D; bond payment status</t>
  </si>
  <si>
    <t>Event-level Excel + announcements</t>
  </si>
  <si>
    <t>Feeds Aug 2025+; announcements older</t>
  </si>
  <si>
    <t>Feed download + announcement scrape</t>
  </si>
  <si>
    <t>Aug 2025+; pre-history via announcements</t>
  </si>
  <si>
    <t>Daily/weekly</t>
  </si>
  <si>
    <t>ref.rating_events_daily</t>
  </si>
  <si>
    <t>nseindia.com</t>
  </si>
  <si>
    <t>Machine-readable default-event feed</t>
  </si>
  <si>
    <t>S-085</t>
  </si>
  <si>
    <t>Rating history</t>
  </si>
  <si>
    <t>CRA SEBI website disclosures: Annexure V (rating history) + VI (defaults)</t>
  </si>
  <si>
    <t>CRISIL/ICRA/CARE/IndRa/Acuite/Brickwork/Infomerics</t>
  </si>
  <si>
    <t>Issuer-level rating histories + default lists</t>
  </si>
  <si>
    <t>Issuer/instrument Excel, half-yearly</t>
  </si>
  <si>
    <t>Half-yearly, 10y archives</t>
  </si>
  <si>
    <t>Excel collection across 7 CRAs</t>
  </si>
  <si>
    <t>Full archives</t>
  </si>
  <si>
    <t>Half-yearly</t>
  </si>
  <si>
    <t>ref.ratings_history + micro.default_events</t>
  </si>
  <si>
    <t>crisilratings.com</t>
  </si>
  <si>
    <t>THE entity-level default label source (not study annexures)</t>
  </si>
  <si>
    <t>S-086</t>
  </si>
  <si>
    <t>CRA annual default &amp; transition studies</t>
  </si>
  <si>
    <t>CRISIL/ICRA/CARE/India Ratings</t>
  </si>
  <si>
    <t>CDRs + transition matrices by rating</t>
  </si>
  <si>
    <t>Rating-category tables</t>
  </si>
  <si>
    <t>FY2010s+ (CRISIL FY25 out)</t>
  </si>
  <si>
    <t>5y per CRA</t>
  </si>
  <si>
    <t>Copyright - cite</t>
  </si>
  <si>
    <t>Cross-CRA calibration differences are informative</t>
  </si>
  <si>
    <t>S-087</t>
  </si>
  <si>
    <t>CGTMSE annual report + MSME dashboard claims data</t>
  </si>
  <si>
    <t>CGTMSE</t>
  </si>
  <si>
    <t>MSME India</t>
  </si>
  <si>
    <t>Guarantee claims = default-cost proxy</t>
  </si>
  <si>
    <t>Scheme/state-year</t>
  </si>
  <si>
    <t>PDF/dashboard extract</t>
  </si>
  <si>
    <t>cgtmse.in</t>
  </si>
  <si>
    <t>FY25 guarantees ~Rs 64,142 cr</t>
  </si>
  <si>
    <t>S-088</t>
  </si>
  <si>
    <t>MUDRA/PMMY NPA disclosures</t>
  </si>
  <si>
    <t>MUDRA / PQ answers</t>
  </si>
  <si>
    <t>Micro-enterprise India</t>
  </si>
  <si>
    <t>NPA by scheme category</t>
  </si>
  <si>
    <t>Category-year</t>
  </si>
  <si>
    <t>Annual / ad hoc</t>
  </si>
  <si>
    <t>PDF/PQ extract</t>
  </si>
  <si>
    <t>mudra.org.in</t>
  </si>
  <si>
    <t>PSB Mudra NPA 3.4% FY24</t>
  </si>
  <si>
    <t>S-089</t>
  </si>
  <si>
    <t>NHB RESIDEX housing price index</t>
  </si>
  <si>
    <t>NHB</t>
  </si>
  <si>
    <t>Housing collateral</t>
  </si>
  <si>
    <t>City-level HPI for mortgage LGD</t>
  </si>
  <si>
    <t>City-quarter, 50+ cities</t>
  </si>
  <si>
    <t>2017 rebase (2007 legacy)</t>
  </si>
  <si>
    <t>residex.nhbonline.org.in</t>
  </si>
  <si>
    <t>India mortgage LGD stress factor</t>
  </si>
  <si>
    <t>S-090</t>
  </si>
  <si>
    <t>NHB Report on Trend &amp; Progress of Housing</t>
  </si>
  <si>
    <t>Housing India</t>
  </si>
  <si>
    <t>HFC GNPA by segment</t>
  </si>
  <si>
    <t>Segment-year</t>
  </si>
  <si>
    <t>Annual (latest Feb 2026)</t>
  </si>
  <si>
    <t>2000s+</t>
  </si>
  <si>
    <t>5y</t>
  </si>
  <si>
    <t>nhb.org.in</t>
  </si>
  <si>
    <t>HFC GNPA 2.32% Mar-24</t>
  </si>
  <si>
    <t>S-091</t>
  </si>
  <si>
    <t>ARC/SR recoveries: CRISIL SR study + RBI T&amp;P ARC tables</t>
  </si>
  <si>
    <t>CRISIL / RBI</t>
  </si>
  <si>
    <t>Distressed India</t>
  </si>
  <si>
    <t>SR redemption rates</t>
  </si>
  <si>
    <t>Cohort tables</t>
  </si>
  <si>
    <t>Ad hoc / annual</t>
  </si>
  <si>
    <t>SR recovery 65-70% FY25E</t>
  </si>
  <si>
    <t>S-092</t>
  </si>
  <si>
    <t>NAFSCOB co-operative bank data (StCB/DCCB/PACS)</t>
  </si>
  <si>
    <t>NAFSCOB</t>
  </si>
  <si>
    <t>Co-op India</t>
  </si>
  <si>
    <t>NPA &amp; recovery ratios state-wise</t>
  </si>
  <si>
    <t>State-year</t>
  </si>
  <si>
    <t>nafscob.org</t>
  </si>
  <si>
    <t>Rural/co-op segment</t>
  </si>
  <si>
    <t>S-093</t>
  </si>
  <si>
    <t>Bureau publication</t>
  </si>
  <si>
    <t>TransUnion CIBIL Credit Market Indicator (CMI)</t>
  </si>
  <si>
    <t>TU CIBIL</t>
  </si>
  <si>
    <t>Retail India</t>
  </si>
  <si>
    <t>Delinquency by product &amp; risk tier</t>
  </si>
  <si>
    <t>Product/tier-quarter</t>
  </si>
  <si>
    <t>2021+ (Mar-26 ed.)</t>
  </si>
  <si>
    <t>Open PDF</t>
  </si>
  <si>
    <t>Full archive</t>
  </si>
  <si>
    <t>Copyright - model from, don't republish</t>
  </si>
  <si>
    <t>transunioncibil.com</t>
  </si>
  <si>
    <t>CMI 102; home-loan delinq 0.7-0.8%</t>
  </si>
  <si>
    <t>S-094</t>
  </si>
  <si>
    <t>SIDBI x TU CIBIL MSME Pulse</t>
  </si>
  <si>
    <t>SIDBI / TU CIBIL</t>
  </si>
  <si>
    <t>NPA by ticket/segment/lender/CMR tier</t>
  </si>
  <si>
    <t>Segment-quarter</t>
  </si>
  <si>
    <t>Quarterly (Jul-26 ed.)</t>
  </si>
  <si>
    <t>2018+</t>
  </si>
  <si>
    <t>sidbi.in</t>
  </si>
  <si>
    <t>Commercial credit &lt;Rs 50 cr: Rs 35.2 lakh cr</t>
  </si>
  <si>
    <t>S-095</t>
  </si>
  <si>
    <t>CRIF How India Lends + MicroLend (+ monthly Lite)</t>
  </si>
  <si>
    <t>CRIF High Mark</t>
  </si>
  <si>
    <t>Retail &amp; MFI India</t>
  </si>
  <si>
    <t>PAR by product/ticket/state/district</t>
  </si>
  <si>
    <t>Product/state tables</t>
  </si>
  <si>
    <t>Annual + quarterly/monthly</t>
  </si>
  <si>
    <t>2019+ (May-26 eds.)</t>
  </si>
  <si>
    <t>agg.india_anchor_series + agg.india_geo_panel</t>
  </si>
  <si>
    <t>crifhighmark.com</t>
  </si>
  <si>
    <t>FY26 retail PAR 3.1% (from 3.6%)</t>
  </si>
  <si>
    <t>S-096</t>
  </si>
  <si>
    <t>Industry tracker</t>
  </si>
  <si>
    <t>MFIN Micrometer</t>
  </si>
  <si>
    <t>MFIN</t>
  </si>
  <si>
    <t>Microfinance India</t>
  </si>
  <si>
    <t>PAR 31-180 by state</t>
  </si>
  <si>
    <t>State-quarter</t>
  </si>
  <si>
    <t>Quarterly (57th ed. Q4 FY26)</t>
  </si>
  <si>
    <t>All 57 editions</t>
  </si>
  <si>
    <t>mfinindia.org</t>
  </si>
  <si>
    <t>PAR 31-180: 2.0% Mar-26 vs 6.3% Mar-25 - full cycle</t>
  </si>
  <si>
    <t>S-097</t>
  </si>
  <si>
    <t>Sa-Dhan Bharat Microfinance Report</t>
  </si>
  <si>
    <t>Sa-Dhan (+NABARD)</t>
  </si>
  <si>
    <t>PAR30+/90+ by state</t>
  </si>
  <si>
    <t>Annual (2025 ed. = FY25)</t>
  </si>
  <si>
    <t>Summary free</t>
  </si>
  <si>
    <t>sa-dhan.net</t>
  </si>
  <si>
    <t>Perimeter differs from MFIN - note when mixing</t>
  </si>
  <si>
    <t>S-098</t>
  </si>
  <si>
    <t>SIDBI x Equifax Microfinance Pulse</t>
  </si>
  <si>
    <t>SIDBI / Equifax</t>
  </si>
  <si>
    <t>Delinquency trends</t>
  </si>
  <si>
    <t>Quarterly (Vol XXVII Jun-26)</t>
  </si>
  <si>
    <t>assets.equifax.com</t>
  </si>
  <si>
    <t>Delinquency 6.64% Mar-25 to 2.35% Mar-26</t>
  </si>
  <si>
    <t>S-099</t>
  </si>
  <si>
    <t>FACE Fintech Personal Loans (quarterly)</t>
  </si>
  <si>
    <t>FACE (SRO-FT)</t>
  </si>
  <si>
    <t>Digital PL India</t>
  </si>
  <si>
    <t>90+ DPD by tier/geography</t>
  </si>
  <si>
    <t>2022+</t>
  </si>
  <si>
    <t>faceofindia.org</t>
  </si>
  <si>
    <t>90+ DPD 3.6% Mar-25; tier-3 4.2%</t>
  </si>
  <si>
    <t>S-100</t>
  </si>
  <si>
    <t>NABARD Status of Microfinance in India (SHG-BLP)</t>
  </si>
  <si>
    <t>NABARD</t>
  </si>
  <si>
    <t>SHG India</t>
  </si>
  <si>
    <t>SHG NPA by state/agency</t>
  </si>
  <si>
    <t>Annual (FY24 latest verified)</t>
  </si>
  <si>
    <t>2010s+</t>
  </si>
  <si>
    <t>nabard.org</t>
  </si>
  <si>
    <t>SHG NPA 2.12% FY24; FY25 edition unconfirmed</t>
  </si>
  <si>
    <t>S-101</t>
  </si>
  <si>
    <t>SLBC agenda/minutes (Kerala, Punjab, West Bengal pilots)</t>
  </si>
  <si>
    <t>State SLBCs</t>
  </si>
  <si>
    <t>District-wise NPA, recovery certificates, SARFAESI cases</t>
  </si>
  <si>
    <t>District tables inside PDFs</t>
  </si>
  <si>
    <t>Quarterly meetings</t>
  </si>
  <si>
    <t>Varies by state</t>
  </si>
  <si>
    <t>PDF extract (format varies)</t>
  </si>
  <si>
    <t>2-3y pilots then expand states</t>
  </si>
  <si>
    <t>slbckerala.com</t>
  </si>
  <si>
    <t>Hidden district-level NPA dataset</t>
  </si>
  <si>
    <t>S-102</t>
  </si>
  <si>
    <t>Company disclosures</t>
  </si>
  <si>
    <t>NBFC Ind AS 109 ECL notes (top 50 annual reports) + Chola ECL methodology doc</t>
  </si>
  <si>
    <t>NBFCs</t>
  </si>
  <si>
    <t>All NBFC India</t>
  </si>
  <si>
    <t>Stage-wise EAD/ECL by product, PD/LGD assumptions, scenario weights</t>
  </si>
  <si>
    <t>NBFC x product x year</t>
  </si>
  <si>
    <t>FY2019+ (7+ years)</t>
  </si>
  <si>
    <t>AR PDF extraction (LLM-assisted + QA)</t>
  </si>
  <si>
    <t>FY19-FY26 across ~50 NBFCs</t>
  </si>
  <si>
    <t>agg.nbfc_ecl_panel</t>
  </si>
  <si>
    <t>Copyright ARs - extract facts</t>
  </si>
  <si>
    <t>files.cholamandalam.com</t>
  </si>
  <si>
    <t>FLAGSHIP: the only India ECL calibration set; Bajaj/Chola/Shriram verified</t>
  </si>
  <si>
    <t>S-103</t>
  </si>
  <si>
    <t>PTC pool surveillance rationales (4 CRAs)</t>
  </si>
  <si>
    <t>CRISIL/ICRA/IndRa/CARE</t>
  </si>
  <si>
    <t>Retail ABS India</t>
  </si>
  <si>
    <t>Pool CCE, 90+/180+ dpd, CE utilisation</t>
  </si>
  <si>
    <t>Pool-review level</t>
  </si>
  <si>
    <t>2015+; FY26 volume Rs 2.55 lakh cr</t>
  </si>
  <si>
    <t>Rationale PDF scrape</t>
  </si>
  <si>
    <t>3y pilot</t>
  </si>
  <si>
    <t>agg.pool_series_india</t>
  </si>
  <si>
    <t>icra.in</t>
  </si>
  <si>
    <t>Real Indian retail vintage performance by originator</t>
  </si>
  <si>
    <t>S-104</t>
  </si>
  <si>
    <t>LTFS FinHack datasets (1: vehicle default; 3: bureau behavioural)</t>
  </si>
  <si>
    <t>L&amp;T Financial Services via Kaggle/AV</t>
  </si>
  <si>
    <t>Vehicle &amp; retail India</t>
  </si>
  <si>
    <t>India application scorecard micro data</t>
  </si>
  <si>
    <t>Loan-level ~233k, ~40 fields incl. CIBIL score</t>
  </si>
  <si>
    <t>2019 / 2021 vintages</t>
  </si>
  <si>
    <t>Kaggle/AV account</t>
  </si>
  <si>
    <t>Download (mirrors live)</t>
  </si>
  <si>
    <t>micro.applications_india</t>
  </si>
  <si>
    <t>Hackathon terms: non-commercial</t>
  </si>
  <si>
    <t>The only real India loan-level tape; FinHack 2 is NOT default data</t>
  </si>
  <si>
    <t>S-105</t>
  </si>
  <si>
    <t>Platform disclosures</t>
  </si>
  <si>
    <t>NBFC-P2P monthly portfolio disclosures (LenDenClub, Faircent, +)</t>
  </si>
  <si>
    <t>P2P platforms per RBI MD</t>
  </si>
  <si>
    <t>Unsecured India</t>
  </si>
  <si>
    <t>Monthly NPA by age, vintage performance</t>
  </si>
  <si>
    <t>Platform-month</t>
  </si>
  <si>
    <t>Factsheet/page scrape</t>
  </si>
  <si>
    <t>2-3y</t>
  </si>
  <si>
    <t>lendenclub.com</t>
  </si>
  <si>
    <t>RBI-mandated disclosure; formats vary</t>
  </si>
  <si>
    <t>S-106</t>
  </si>
  <si>
    <t>Corporate financials</t>
  </si>
  <si>
    <t>MCA master data + AOC-4/XBRL financials</t>
  </si>
  <si>
    <t>MCA</t>
  </si>
  <si>
    <t>Scorecard features</t>
  </si>
  <si>
    <t>Entity/filing level</t>
  </si>
  <si>
    <t>Master free; Rs 100/company/year for filings</t>
  </si>
  <si>
    <t>Portal or resellers (Probe42/Tofler)</t>
  </si>
  <si>
    <t>Targeted: defaulted entities + matched sample</t>
  </si>
  <si>
    <t>ref.financials_india</t>
  </si>
  <si>
    <t>Per-document fees</t>
  </si>
  <si>
    <t>mca.gov.in</t>
  </si>
  <si>
    <t>No confirmed bulk product on V3</t>
  </si>
  <si>
    <t>S-107</t>
  </si>
  <si>
    <t>screener.in / exchange XBRL / CMIE Prowess</t>
  </si>
  <si>
    <t>Listed-co financials panel</t>
  </si>
  <si>
    <t>Company-year</t>
  </si>
  <si>
    <t>10y+</t>
  </si>
  <si>
    <t>Free / paid / academic</t>
  </si>
  <si>
    <t>Export/API</t>
  </si>
  <si>
    <t>Mixed</t>
  </si>
  <si>
    <t>screener.in</t>
  </si>
  <si>
    <t>Prowess via academic access</t>
  </si>
  <si>
    <t>S-108</t>
  </si>
  <si>
    <t>Regulatory reference</t>
  </si>
  <si>
    <t>RBI ECL Directions 2026 + Basel III SA Directions + draft MRM guidance + RB-CRIS</t>
  </si>
  <si>
    <t>Regulatory spec</t>
  </si>
  <si>
    <t>Build-target requirements (floors, SICR, glide path)</t>
  </si>
  <si>
    <t>Documents</t>
  </si>
  <si>
    <t>One-time + updates</t>
  </si>
  <si>
    <t>Issued Apr 2026; effective 1 Apr 2027</t>
  </si>
  <si>
    <t>assets.kpmg.com</t>
  </si>
  <si>
    <t>Floors: Stage-1 ~0.40%, Stage-2 ~5%; 30-dpd SICR</t>
  </si>
  <si>
    <t>S-109</t>
  </si>
  <si>
    <t>Ecosystem stats</t>
  </si>
  <si>
    <t>Sahamati Account Aggregator statistics</t>
  </si>
  <si>
    <t>Sahamati</t>
  </si>
  <si>
    <t>Underwriting rail</t>
  </si>
  <si>
    <t>AA adoption trajectory</t>
  </si>
  <si>
    <t>Ecosystem counts</t>
  </si>
  <si>
    <t>2021+</t>
  </si>
  <si>
    <t>sahamati.org.in</t>
  </si>
  <si>
    <t>~24 cr consents; future cash-flow underwriting rail</t>
  </si>
  <si>
    <t>CREDIT RISK DATA PROGRAMME — DASHBOARD</t>
  </si>
  <si>
    <t>All figures computed live from the tracker sheets. Update Status columns there; this page follows.</t>
  </si>
  <si>
    <t>HEADLINE</t>
  </si>
  <si>
    <t>SOURCES: STATUS x PRIORITY</t>
  </si>
  <si>
    <t>Data sources tracked</t>
  </si>
  <si>
    <t>In progress</t>
  </si>
  <si>
    <t>Cleaned</t>
  </si>
  <si>
    <t>Loaded</t>
  </si>
  <si>
    <t>Validated</t>
  </si>
  <si>
    <t>Done</t>
  </si>
  <si>
    <t>Blocked</t>
  </si>
  <si>
    <t>N/A</t>
  </si>
  <si>
    <t>Total</t>
  </si>
  <si>
    <t>Sources done (Loaded/Validated/Done)</t>
  </si>
  <si>
    <t>Sources in flight (In progress/Fetched/Cleaned)</t>
  </si>
  <si>
    <t>Source completion %</t>
  </si>
  <si>
    <t>Pipelines done</t>
  </si>
  <si>
    <t>Assembly projects done</t>
  </si>
  <si>
    <t>SOURCES BY REGION</t>
  </si>
  <si>
    <t>Prototypes done</t>
  </si>
  <si>
    <t>Watchlist open items</t>
  </si>
  <si>
    <t>WORKSTREAM PROGRESS</t>
  </si>
  <si>
    <t>Workstream</t>
  </si>
  <si>
    <t>In flight</t>
  </si>
  <si>
    <t>1. Sources</t>
  </si>
  <si>
    <t>2. Assembly projects</t>
  </si>
  <si>
    <t>3. Prototypes</t>
  </si>
  <si>
    <t>4. Pipelines</t>
  </si>
  <si>
    <t>5. DB tables</t>
  </si>
  <si>
    <t>8. Watchlist</t>
  </si>
  <si>
    <t>2. ASSEMBLY PROJECTS — the differentiated datasets to build</t>
  </si>
  <si>
    <t>Five flagship datasets nobody has assembled + the anchor warehouse + synthesis. Research phase is complete; build phase starts now.</t>
  </si>
  <si>
    <t>Project</t>
  </si>
  <si>
    <t>Description</t>
  </si>
  <si>
    <t>Doc ref</t>
  </si>
  <si>
    <t>Research status</t>
  </si>
  <si>
    <t>Layer-1 inputs</t>
  </si>
  <si>
    <t>Layer-2 anchors</t>
  </si>
  <si>
    <t>Key steps</t>
  </si>
  <si>
    <t>Deliverable</t>
  </si>
  <si>
    <t>Dependencies</t>
  </si>
  <si>
    <t>Build status</t>
  </si>
  <si>
    <t>% complete</t>
  </si>
  <si>
    <t>AP-1</t>
  </si>
  <si>
    <t>IBBI case-level corporate LGD dataset</t>
  </si>
  <si>
    <t>Extract Table 5 (CIRPs yielding resolution) + liquidation tables from every IBBI quarterly newsletter into a company-named workout-LGD dataset (~1,400 resolutions) with claims, liquidation/fair values, realisation and durations.</t>
  </si>
  <si>
    <t>§4.2</t>
  </si>
  <si>
    <t>Done (verified Jul-26)</t>
  </si>
  <si>
    <t>IBBI quarterly newsletter PDFs (S-079)</t>
  </si>
  <si>
    <t>IBBI headline ratios; T&amp;P recovery-by-channel; GEMs</t>
  </si>
  <si>
    <t>1) Download all newsletters 2) PDF table extraction (pdfplumber/camelot) 3) Normalize entity names 4) QA vs published cumulative ratios 5) Load micro.default_events + micro.recovery_cashflows 6) Derive LGD distribution + time-to-resolution curves</t>
  </si>
  <si>
    <t>India corporate workout-LGD dataset + recovery-timing curves</t>
  </si>
  <si>
    <t>PL-20</t>
  </si>
  <si>
    <t>Flagship. Realisation ratios drift by quarter — record cutoff per case.</t>
  </si>
  <si>
    <t>AP-2</t>
  </si>
  <si>
    <t>India corporate default-event &amp; rating-migration corpus</t>
  </si>
  <si>
    <t>Assemble issuer-level default labels + full rating histories from CRA Annexure V/VI files, daily NSE/BSE rating feeds, Reg 57 intimations and CIC defaulter registries; India's 17g-7 equivalent.</t>
  </si>
  <si>
    <t>Annexure V/VI Excels (7 CRAs) (S-084); exchange feeds (S-083); CIC registries (S-081); indiabondinfo (S-082)</t>
  </si>
  <si>
    <t>CRA default studies (CDRs, matrices) (S-085); NeSL (S-080)</t>
  </si>
  <si>
    <t>1) Collect Annexure V/VI archives 2) Normalize scales/issuer names across CRAs 3) Ingest daily exchange rating feeds from Aug-25 4) Scrape Reg 57 announcements 5) Entity-resolve vs CIC registries 6) Build migration matrices + default-event table 7) Validate vs published CDRs</t>
  </si>
  <si>
    <t>Issuer-level Indian rating-migration panel + default-event history</t>
  </si>
  <si>
    <t>PL-22, PL-23, PL-24</t>
  </si>
  <si>
    <t>Studies do NOT name defaulters — Annexure VI does.</t>
  </si>
  <si>
    <t>AP-3</t>
  </si>
  <si>
    <t>India NBFC ECL panel</t>
  </si>
  <si>
    <t>Extract stage-wise gross exposure, ECL allowance, coverage, PD/LGD assumptions and scenario weights from ~50 NBFC annual reports x FY19-FY26.</t>
  </si>
  <si>
    <t>§4.5</t>
  </si>
  <si>
    <t>Done (3 NBFCs verified)</t>
  </si>
  <si>
    <t>NBFC annual reports (S-101); Chola ECL methodology doc</t>
  </si>
  <si>
    <t>ECB/EBA stage benchmarks; RBI floors (0.40%/5%)</t>
  </si>
  <si>
    <t>1) Fix NBFC universe (~50) 2) Collect ARs FY19-FY26 3) LLM-assisted note extraction + human QA 4) Normalize product taxonomies 5) Panelize stage coverage by product-year 6) Benchmark vs EU stage data</t>
  </si>
  <si>
    <t>Product-level India ECL panel (stage EAD, coverage, PD/LGD disclosures)</t>
  </si>
  <si>
    <t>PL-25</t>
  </si>
  <si>
    <t>Value spikes toward Apr-2027 bank ECL deadline.</t>
  </si>
  <si>
    <t>AP-4</t>
  </si>
  <si>
    <t>EU cross-bank IRB parameter panel (P3DH)</t>
  </si>
  <si>
    <t>Bulk-download P3DH machine-readable Pillar 3 (CR6/CR10) and panelize EAD-weighted PD/LGD/RW/EL by bank x exposure class x PD band x ref date.</t>
  </si>
  <si>
    <t>§3.1</t>
  </si>
  <si>
    <t>Done (P3DH live 26-Jan-26)</t>
  </si>
  <si>
    <t>EBA P3DH bulk CSVs (S-045)</t>
  </si>
  <si>
    <t>EBA benchmarking dispersion report (S-048); transparency exercise (S-047)</t>
  </si>
  <si>
    <t>1) Bulk download all ref dates 2) Parse DPM/XBRL-CSV 3) Build agg.irb_parameters 4) Dispersion analytics 5) Refresh semiannually</t>
  </si>
  <si>
    <t>Cross-bank IRB PD/LGD benchmark panel + dispersion views</t>
  </si>
  <si>
    <t>PL-12</t>
  </si>
  <si>
    <t>Global benchmark product; replaces PDF scraping.</t>
  </si>
  <si>
    <t>AP-5</t>
  </si>
  <si>
    <t>India district-risk panel</t>
  </si>
  <si>
    <t>Join SLBC district NPA tables with BSR-1 district credit (occupation x rate bucket) and state microfinance PAR into a district-level risk surface.</t>
  </si>
  <si>
    <t>§4.4</t>
  </si>
  <si>
    <t>Done (KL/PB/WB verified)</t>
  </si>
  <si>
    <t>SLBC minutes (S-100); BSR-1 (S-077)</t>
  </si>
  <si>
    <t>MFIN/CRIF state-district PAR (S-095/094); NABARD SHG (S-099)</t>
  </si>
  <si>
    <t>1) Pilot 3 states' SLBC PDFs 2) District-name normalization (LGD codes) 3) Merge BSR-1 credit 4) Layer microfinance PAR 5) Build agg.india_geo_panel 6) Expand states</t>
  </si>
  <si>
    <t>District-level India credit-risk surface (concentration, geo-stress)</t>
  </si>
  <si>
    <t>PL-28, PL-29</t>
  </si>
  <si>
    <t>Unique geographic asset; useful for climate overlays later.</t>
  </si>
  <si>
    <t>AP-6</t>
  </si>
  <si>
    <t>Global anchor warehouse</t>
  </si>
  <si>
    <t>Digitize every benchmark table (agency studies, GEMs, GCD, BdI, ICC, Philly Fed, Fed charge-offs, EBA/ECB stage data, bureau PDFs) into one long-format anchor store with source/as-of metadata.</t>
  </si>
  <si>
    <t>§3, §7.1</t>
  </si>
  <si>
    <t>Done (sources verified)</t>
  </si>
  <si>
    <t>—</t>
  </si>
  <si>
    <t>All Layer-2 sources (S-031..S-078, India S-075..S-107)</t>
  </si>
  <si>
    <t>1) Define agg.anchor_series long schema (source, segment, metric, period, value, asof, url) 2) Prioritized digitization backlog 3) Automated pulls where API exists 4) QA vs doc's key numbers (6_Anchors) 5) Refresh calendar</t>
  </si>
  <si>
    <t>Queryable calibration-anchor database powering all prototypes</t>
  </si>
  <si>
    <t>PL-10..PL-19, PL-26, PL-27</t>
  </si>
  <si>
    <t>The backbone — do early; everything validates against it.</t>
  </si>
  <si>
    <t>AP-7</t>
  </si>
  <si>
    <t>India synthetic loan books (retail/MSME/corporate)</t>
  </si>
  <si>
    <t>Constrained synthetic generation: fit dependence on Layer-1 micro (Home Credit/LTFS/Freddie), reweight to reproduce India Layer-2 anchors (bureau PAR, FSR, NBFC ECL panel).</t>
  </si>
  <si>
    <t>§7.1</t>
  </si>
  <si>
    <t>Done (method set)</t>
  </si>
  <si>
    <t>Home Credit (S-017/018); LTFS (S-103); Freddie (S-001); Bondora (S-014)</t>
  </si>
  <si>
    <t>CMI/MSME Pulse/CRIF/MFIN (S-092..095); FSR (S-075); AP-3 panel</t>
  </si>
  <si>
    <t>1) Build facility schema (AnaCredit-shaped) 2) Fit copulas/CTGAN on Layer-1 3) Calibrate marginals to anchors 4) Prove reproduction of targets 5) Package as teaching/prototype datasets</t>
  </si>
  <si>
    <t>Synthetic India books that provably reproduce published aggregates</t>
  </si>
  <si>
    <t>AP-1, AP-3, AP-6</t>
  </si>
  <si>
    <t>SDV/CTGAN + reweighting; document constraints per book.</t>
  </si>
  <si>
    <t>3. MODEL PROTOTYPES — starter stacks</t>
  </si>
  <si>
    <t>One row per planned prototype, mapped to its Layer-1/Layer-2 data and regulatory hook (doc §7.2).</t>
  </si>
  <si>
    <t>Prototype</t>
  </si>
  <si>
    <t>Portfolio</t>
  </si>
  <si>
    <t>Layer-1 micro data</t>
  </si>
  <si>
    <t>Regulatory hook</t>
  </si>
  <si>
    <t>Depends on</t>
  </si>
  <si>
    <t>M-01</t>
  </si>
  <si>
    <t>Mortgage PD + LGD + prepayment pipeline</t>
  </si>
  <si>
    <t>§7.2</t>
  </si>
  <si>
    <t>Freddie SFLLD (loss columns) (S-001)</t>
  </si>
  <si>
    <t>DFAST loss rates; EBA IRB CSV; FHFA HPI paths</t>
  </si>
  <si>
    <t>IFRS9/ECL lifetime, Basel IRB</t>
  </si>
  <si>
    <t>End-to-end PD/LGD/prepay models + ECL engine demo</t>
  </si>
  <si>
    <t>PL-01</t>
  </si>
  <si>
    <t>Validates the whole architecture first</t>
  </si>
  <si>
    <t>M-02</t>
  </si>
  <si>
    <t>Auto PD + LGD + recovery timing</t>
  </si>
  <si>
    <t>ABS-EE EX-102 (S-007); LTFS (S-103) for India scorecard</t>
  </si>
  <si>
    <t>Manheim; CRIF auto/2W PAR; PTC pool rationales</t>
  </si>
  <si>
    <t>RBI ECL, IFRS9</t>
  </si>
  <si>
    <t>Auto book models incl. workout-recovery timing</t>
  </si>
  <si>
    <t>PL-03, PL-07</t>
  </si>
  <si>
    <t>Both geographies have micro data here</t>
  </si>
  <si>
    <t>M-03</t>
  </si>
  <si>
    <t>Behavioural card + EAD/CCF</t>
  </si>
  <si>
    <t>Amex panel (S-019); master trust 10-Ds (S-009)</t>
  </si>
  <si>
    <t>Philly Fed utilization by score band; CFPB CARD Act tiers</t>
  </si>
  <si>
    <t>Basel CCF, IFRS9 EAD</t>
  </si>
  <si>
    <t>Behavioural PD + utilization/CCF model with anchored calibration</t>
  </si>
  <si>
    <t>PL-04, PL-07, PL-10</t>
  </si>
  <si>
    <t>EAD story is anchor-based by design</t>
  </si>
  <si>
    <t>M-04</t>
  </si>
  <si>
    <t>Application scorecard + stability monitoring</t>
  </si>
  <si>
    <t>Home Credit 2018 + 2024 (S-017/018); LendingClub rejects (S-013)</t>
  </si>
  <si>
    <t>NY Fed transitions; CIBIL CMI risk tiers</t>
  </si>
  <si>
    <t>RBI draft MRM guidance</t>
  </si>
  <si>
    <t>Scorecard + reject inference + OOT stability/PSI monitoring kit</t>
  </si>
  <si>
    <t>PL-07</t>
  </si>
  <si>
    <t>2024 set = ready-made monitoring testbed</t>
  </si>
  <si>
    <t>M-05</t>
  </si>
  <si>
    <t>Unsecured consumer workout LGD + cure</t>
  </si>
  <si>
    <t>Bondora recovery cashflows (S-014)</t>
  </si>
  <si>
    <t>GCD unsecured LGD ~27%; P2P India disclosures</t>
  </si>
  <si>
    <t>IFRS9 LGD, RBI ECL</t>
  </si>
  <si>
    <t>Workout-LGD, cure-rate and recovery-timing models</t>
  </si>
  <si>
    <t>PL-06</t>
  </si>
  <si>
    <t>Only free consumer recovery-cashflow data</t>
  </si>
  <si>
    <t>M-06</t>
  </si>
  <si>
    <t>SME/MSME PD + LGD</t>
  </si>
  <si>
    <t>SME/MSME</t>
  </si>
  <si>
    <t>SBA 7(a) charge-offs (S-012)</t>
  </si>
  <si>
    <t>MSME Pulse by ticket/CMR; CGTMSE claims; OECD SME NPLs; EBA SME IRB</t>
  </si>
  <si>
    <t>RBI ECL (MSME book)</t>
  </si>
  <si>
    <t>SME scorecard + LGD distribution + India MSME calibration</t>
  </si>
  <si>
    <t>PL-05, PL-26</t>
  </si>
  <si>
    <t>M-07</t>
  </si>
  <si>
    <t>Corporate PD + rating migration</t>
  </si>
  <si>
    <t>ratingshistory + EDGAR XBRL + FJC (S-028/029/030); India corpus (AP-2)</t>
  </si>
  <si>
    <t>S&amp;P/Moody's studies; CRISIL/ICRA matrices; NUS-CRI; NeSL</t>
  </si>
  <si>
    <t>Basel IRB, ICAAP</t>
  </si>
  <si>
    <t>Transition matrices, PD term structures, Altman/Merton scorecards</t>
  </si>
  <si>
    <t>AP-2, PL-16</t>
  </si>
  <si>
    <t>M-08</t>
  </si>
  <si>
    <t>Corporate LGD (India-led)</t>
  </si>
  <si>
    <t>IBBI Table 5 case data (AP-1)</t>
  </si>
  <si>
    <t>GEMs 72.9%; GCD seniority; BdI 41%; T&amp;P channel table</t>
  </si>
  <si>
    <t>RBI ECL LGD, IFRS9</t>
  </si>
  <si>
    <t>India corporate LGD model + channel-conditional structure</t>
  </si>
  <si>
    <t>India's unique strength</t>
  </si>
  <si>
    <t>M-09</t>
  </si>
  <si>
    <t>Microfinance stress &amp; SICR demo</t>
  </si>
  <si>
    <t>(synthesize)</t>
  </si>
  <si>
    <t>MFIN+Sa-Dhan+CRIF+Equifax full-cycle state panel; MIX global</t>
  </si>
  <si>
    <t>RBI ECL staging/SICR</t>
  </si>
  <si>
    <t>State-level stress model + SICR trigger demonstration on real cycle</t>
  </si>
  <si>
    <t>PL-26, AP-6</t>
  </si>
  <si>
    <t>FY24-26 cycle = rare gift</t>
  </si>
  <si>
    <t>M-10</t>
  </si>
  <si>
    <t>IFRS9 / RBI ECL engine</t>
  </si>
  <si>
    <t>All-portfolio</t>
  </si>
  <si>
    <t>Any Layer-1 for PD term structures</t>
  </si>
  <si>
    <t>NBFC ECL panel (AP-3); ECB stage stats; EBA IFRS9 reports; RBI floors</t>
  </si>
  <si>
    <t>RBI ECL Directions 2026</t>
  </si>
  <si>
    <t>Full 3-stage ECL engine with floors, SICR, scenario weights</t>
  </si>
  <si>
    <t>AP-3, AP-6, M-01</t>
  </si>
  <si>
    <t>The commercial centerpiece for Apr-2027</t>
  </si>
  <si>
    <t>M-11</t>
  </si>
  <si>
    <t>Stress testing / ICAAP suite</t>
  </si>
  <si>
    <t>Fed/BoE/RBI FSR scenarios; Fed charge-off satellites; Laeven-Valencia tails; NGFS climate</t>
  </si>
  <si>
    <t>ICAAP, RBI FSR methodology</t>
  </si>
  <si>
    <t>Macro-satellite models + scenario engine + climate overlay</t>
  </si>
  <si>
    <t>PL-17, AP-6</t>
  </si>
  <si>
    <t>Validate severe vs RBI adverse range</t>
  </si>
  <si>
    <t>M-12</t>
  </si>
  <si>
    <t>Wholesale IRB benchmarking tool</t>
  </si>
  <si>
    <t>P3DH CR6 panel (AP-4); EBA benchmarking dispersion</t>
  </si>
  <si>
    <t>Basel IRB validation</t>
  </si>
  <si>
    <t>Benchmark-your-parameters tool vs EU bank distribution</t>
  </si>
  <si>
    <t>4. PIPELINES — fetch/parse/load engineering tasks</t>
  </si>
  <si>
    <t>One row per data-engineering task. Effort: S &lt;1 day, M 1-3 days, L 1-2 weeks (order of magnitude).</t>
  </si>
  <si>
    <t>Task</t>
  </si>
  <si>
    <t>Feeds from</t>
  </si>
  <si>
    <t>Method</t>
  </si>
  <si>
    <t>Tooling &amp; anti-bot notes</t>
  </si>
  <si>
    <t>Output table</t>
  </si>
  <si>
    <t>Backfill range</t>
  </si>
  <si>
    <t>Refresh schedule</t>
  </si>
  <si>
    <t>Effort</t>
  </si>
  <si>
    <t>Freddie SFLLD downloader + loader</t>
  </si>
  <si>
    <t>Bulk ZIP -&gt; parquet</t>
  </si>
  <si>
    <t>Registration cookie; 100GB+ full history — start with sample file + selected vintages</t>
  </si>
  <si>
    <t>micro.facility_master/performance/recovery</t>
  </si>
  <si>
    <t>1999-2025</t>
  </si>
  <si>
    <t>L</t>
  </si>
  <si>
    <t>Reference pipeline for everything</t>
  </si>
  <si>
    <t>PL-02</t>
  </si>
  <si>
    <t>Fannie CAS enhanced loader</t>
  </si>
  <si>
    <t>Similar to PL-01</t>
  </si>
  <si>
    <t>2000-2025</t>
  </si>
  <si>
    <t>M</t>
  </si>
  <si>
    <t>PL-03</t>
  </si>
  <si>
    <t>ABS-EE EX-102 XML parser (auto shelves)</t>
  </si>
  <si>
    <t>EDGAR index -&gt; 10-D exhibits -&gt; XML</t>
  </si>
  <si>
    <t>Respect SEC rate limits (10 req/s, declared UA); schema per Reg AB II</t>
  </si>
  <si>
    <t>micro.facility_master/recovery</t>
  </si>
  <si>
    <t>Start: 2-3 shelves (Ford, Santander)</t>
  </si>
  <si>
    <t>PL-04</t>
  </si>
  <si>
    <t>Card master-trust 10-D parser</t>
  </si>
  <si>
    <t>Exhibit formats vary by trust; regex/table heuristics per trust</t>
  </si>
  <si>
    <t>Chase + Citi first</t>
  </si>
  <si>
    <t>PL-05</t>
  </si>
  <si>
    <t>SBA 7(a)/504 loader</t>
  </si>
  <si>
    <t>Straightforward</t>
  </si>
  <si>
    <t>1991+</t>
  </si>
  <si>
    <t>S</t>
  </si>
  <si>
    <t>Bondora/Go&amp;Grow ingester</t>
  </si>
  <si>
    <t>XLSX + snapshot archives</t>
  </si>
  <si>
    <t>Schema drift across vintages; API is dead</t>
  </si>
  <si>
    <t>Kaggle fetcher (Amex, HC18, HC24, LC, LTFS, GMSC)</t>
  </si>
  <si>
    <t>S-013/017/018/019/103</t>
  </si>
  <si>
    <t>kaggle CLI</t>
  </si>
  <si>
    <t>Accept competition rules in browser first; store raw + license note</t>
  </si>
  <si>
    <t>micro.* various</t>
  </si>
  <si>
    <t>PL-08</t>
  </si>
  <si>
    <t>Berka MariaDB pull</t>
  </si>
  <si>
    <t>SQL (guest/ctu-relational)</t>
  </si>
  <si>
    <t>Public guest credentials</t>
  </si>
  <si>
    <t>PL-09</t>
  </si>
  <si>
    <t>MIX Market loader</t>
  </si>
  <si>
    <t>Excel/ZIP</t>
  </si>
  <si>
    <t>Static archive</t>
  </si>
  <si>
    <t>PL-10</t>
  </si>
  <si>
    <t>FRED + Philly Fed + charge-off pullers</t>
  </si>
  <si>
    <t>S-054/058</t>
  </si>
  <si>
    <t>FRED API + CSV</t>
  </si>
  <si>
    <t>Free API key</t>
  </si>
  <si>
    <t>1985+/2012+</t>
  </si>
  <si>
    <t>PL-11</t>
  </si>
  <si>
    <t>FFIEC/NCUA/FDIC pulls</t>
  </si>
  <si>
    <t>S-055/056/057</t>
  </si>
  <si>
    <t>Bulk + REST API</t>
  </si>
  <si>
    <t>FDIC API is no-auth</t>
  </si>
  <si>
    <t>EBA P3DH bulk downloader</t>
  </si>
  <si>
    <t>Bulk XBRL-CSV</t>
  </si>
  <si>
    <t>New portal; DPM-aligned schema mapping needed</t>
  </si>
  <si>
    <t>Jun-2025+</t>
  </si>
  <si>
    <t>Feeds AP-4</t>
  </si>
  <si>
    <t>PL-13</t>
  </si>
  <si>
    <t>EBA stress/transparency/dashboard ingester</t>
  </si>
  <si>
    <t>S-046/047/049</t>
  </si>
  <si>
    <t>CSV/Excel</t>
  </si>
  <si>
    <t>Stable formats</t>
  </si>
  <si>
    <t>agg.stress_results/bank_panel/stage_coverage</t>
  </si>
  <si>
    <t>Per release</t>
  </si>
  <si>
    <t>PL-14</t>
  </si>
  <si>
    <t>ECB SUP statistics pull</t>
  </si>
  <si>
    <t>ECB Data Portal API/CSV</t>
  </si>
  <si>
    <t>SDMX available</t>
  </si>
  <si>
    <t>PL-15</t>
  </si>
  <si>
    <t>Banca d'Italia recovery-series digitizer</t>
  </si>
  <si>
    <t>S-053 (BdI row)</t>
  </si>
  <si>
    <t>Excel appendix + PDF</t>
  </si>
  <si>
    <t>Excel appendix published with note</t>
  </si>
  <si>
    <t>PL-16</t>
  </si>
  <si>
    <t>Benchmark-table digitizer (S&amp;P/Moody's/GEMs/ICC/GCD studies)</t>
  </si>
  <si>
    <t>S-031/032/034/036/038</t>
  </si>
  <si>
    <t>PDF tables -&gt; anchor rows</t>
  </si>
  <si>
    <t>Manual-assisted; provenance metadata per number</t>
  </si>
  <si>
    <t>Feeds AP-6</t>
  </si>
  <si>
    <t>PL-17</t>
  </si>
  <si>
    <t>Scenario ingesters (Fed/EBA/BoE/RBI FSR/NGFS)</t>
  </si>
  <si>
    <t>S-053/063/071/075</t>
  </si>
  <si>
    <t>CSV/portal downloads</t>
  </si>
  <si>
    <t>NGFS via IIASA explorer; RBI annex is PDF</t>
  </si>
  <si>
    <t>scen.macro_paths + scen.climate_paths</t>
  </si>
  <si>
    <t>PL-18</t>
  </si>
  <si>
    <t>Brazil BCB SGS/SCR API puller</t>
  </si>
  <si>
    <t>python-bcb package</t>
  </si>
  <si>
    <t>Also = pipeline design study</t>
  </si>
  <si>
    <t>PL-19</t>
  </si>
  <si>
    <t>IMF FSI / BIS / OECD pulls</t>
  </si>
  <si>
    <t>S-064/065/066</t>
  </si>
  <si>
    <t>SDMX / bulk CSV</t>
  </si>
  <si>
    <t>Standard</t>
  </si>
  <si>
    <t>IBBI newsletter scraper — Table 5 + liquidation tables</t>
  </si>
  <si>
    <t>PDF table extract (pdfplumber/camelot)</t>
  </si>
  <si>
    <t>Layout varies by edition; QA extracted totals vs published cumulative ratios</t>
  </si>
  <si>
    <t>2017-2026 all quarters</t>
  </si>
  <si>
    <t>FLAGSHIP — feeds AP-1</t>
  </si>
  <si>
    <t>PL-21</t>
  </si>
  <si>
    <t>NeSL statistics digitizer</t>
  </si>
  <si>
    <t>Large PDFs (10MB+)</t>
  </si>
  <si>
    <t>PL-22</t>
  </si>
  <si>
    <t>Annexure V/VI collector (7 CRAs)</t>
  </si>
  <si>
    <t>Excel download + normalize</t>
  </si>
  <si>
    <t>Naming/format differs per CRA; issuer-name entity resolution is the hard part</t>
  </si>
  <si>
    <t>~2016+ archives</t>
  </si>
  <si>
    <t>FLAGSHIP — feeds AP-2</t>
  </si>
  <si>
    <t>PL-23</t>
  </si>
  <si>
    <t>NSE/BSE daily rating feed + Reg 57 ingester</t>
  </si>
  <si>
    <t>Feed Excel + announcements endpoints</t>
  </si>
  <si>
    <t>NSE anti-bot (cookies/UA rotation); BSE simpler; PDFs need parsing for Reg 57</t>
  </si>
  <si>
    <t>Aug-2025+ (older via announcements)</t>
  </si>
  <si>
    <t>PL-24</t>
  </si>
  <si>
    <t>CIC defaulter-registry search protocol</t>
  </si>
  <si>
    <t>Throttled searches (Experian portal)</t>
  </si>
  <si>
    <t>ToS-sensitive — legal review first; manual-assisted batches; CIBIL 403s bots</t>
  </si>
  <si>
    <t>Current stock</t>
  </si>
  <si>
    <t>Name-matching to AP-2 corpus</t>
  </si>
  <si>
    <t>NBFC AR ECL-note extractor (top 50)</t>
  </si>
  <si>
    <t>AR PDF -&gt; stage tables (LLM-assisted + human QA)</t>
  </si>
  <si>
    <t>Note formats vary; build extraction template per lender</t>
  </si>
  <si>
    <t>FY19-FY26</t>
  </si>
  <si>
    <t>FLAGSHIP — feeds AP-3</t>
  </si>
  <si>
    <t>PL-26</t>
  </si>
  <si>
    <t>Bureau/industry PDF digitizer (CMI, MSME Pulse, CRIF, MFIN, Sa-Dhan, Equifax, FACE)</t>
  </si>
  <si>
    <t>S-092..S-098</t>
  </si>
  <si>
    <t>Backfill archives where hosted; else Wayback</t>
  </si>
  <si>
    <t>3-5y each</t>
  </si>
  <si>
    <t>PL-27</t>
  </si>
  <si>
    <t>RBI FSR + T&amp;P table extraction</t>
  </si>
  <si>
    <t>S-075/076</t>
  </si>
  <si>
    <t>Manual download + extract</t>
  </si>
  <si>
    <t>rbidocs is bot/CAPTCHA-gated — manual download step</t>
  </si>
  <si>
    <t>Includes SMA + scenario annex</t>
  </si>
  <si>
    <t>PL-28</t>
  </si>
  <si>
    <t>DBIE BSR-1 / sectoral deployment exports</t>
  </si>
  <si>
    <t>Portal CSV/XLSX</t>
  </si>
  <si>
    <t>Portal quirks post-CIMS migration</t>
  </si>
  <si>
    <t>Feeds AP-5</t>
  </si>
  <si>
    <t>PL-29</t>
  </si>
  <si>
    <t>SLBC PDF pilots (KL/PB/WB)</t>
  </si>
  <si>
    <t>Formats vary by state; district-name normalization</t>
  </si>
  <si>
    <t>PL-30</t>
  </si>
  <si>
    <t>PTC rationale scraper (4 CRA sites)</t>
  </si>
  <si>
    <t>Rationale PDF scrape + parse</t>
  </si>
  <si>
    <t>Volume; dedupe multiple reviews per pool</t>
  </si>
  <si>
    <t>PL-31</t>
  </si>
  <si>
    <t>CGTMSE/MUDRA/NHB/NAFSCOB digitizers</t>
  </si>
  <si>
    <t>S-086/087/088/089/091</t>
  </si>
  <si>
    <t>PDF/portal extract</t>
  </si>
  <si>
    <t>Annual cadence, low volume</t>
  </si>
  <si>
    <t>agg.india_anchor_series + idx.collateral_indices</t>
  </si>
  <si>
    <t>5-10y</t>
  </si>
  <si>
    <t>PL-32</t>
  </si>
  <si>
    <t>P2P factsheet scraper</t>
  </si>
  <si>
    <t>Monthly PDF/page scrape</t>
  </si>
  <si>
    <t>Formats vary by platform</t>
  </si>
  <si>
    <t>5. DATABASE SCHEMA — where everything lands</t>
  </si>
  <si>
    <t>Target model: AnaCredit-shaped micro layer + openNPL-shaped default/recovery layer + long-format aggregate anchors. Doc §6.</t>
  </si>
  <si>
    <t>Layer</t>
  </si>
  <si>
    <t>Schema.Table</t>
  </si>
  <si>
    <t>Grain</t>
  </si>
  <si>
    <t>Template basis</t>
  </si>
  <si>
    <t>Key fields (illustrative)</t>
  </si>
  <si>
    <t>Fed by (source IDs)</t>
  </si>
  <si>
    <t>T-01</t>
  </si>
  <si>
    <t>Reference</t>
  </si>
  <si>
    <t>ref.entities</t>
  </si>
  <si>
    <t>One row per obligor/entity</t>
  </si>
  <si>
    <t>AnaCredit + RIAD</t>
  </si>
  <si>
    <t>entity_id, name(s), LEI/CIN/PAN, sector, geography, size class</t>
  </si>
  <si>
    <t>S-081, S-084, S-029, S-105</t>
  </si>
  <si>
    <t>Entity resolution backbone (India + global)</t>
  </si>
  <si>
    <t>T-02</t>
  </si>
  <si>
    <t>Documentation</t>
  </si>
  <si>
    <t>AnaCredit, EBA NPL, Y-14 H.1, ESMA, CR6</t>
  </si>
  <si>
    <t>Field dictionaries + mappings</t>
  </si>
  <si>
    <t>S-011, S-052, S-061</t>
  </si>
  <si>
    <t>Adopt, don't invent</t>
  </si>
  <si>
    <t>T-03</t>
  </si>
  <si>
    <t>Micro</t>
  </si>
  <si>
    <t>One row per facility at origination</t>
  </si>
  <si>
    <t>AnaCredit instrument</t>
  </si>
  <si>
    <t>facility_id, entity_id, product, orig_date, amount, rate, LTV, term, channel</t>
  </si>
  <si>
    <t>S-001/002/007/012/014/103</t>
  </si>
  <si>
    <t>T-04</t>
  </si>
  <si>
    <t>micro.performance_monthly</t>
  </si>
  <si>
    <t>Facility-month</t>
  </si>
  <si>
    <t>AnaCredit + servicer templates</t>
  </si>
  <si>
    <t>facility_id, month, balance, dpd, status, payment, utilization</t>
  </si>
  <si>
    <t>S-001/002/007/014/019</t>
  </si>
  <si>
    <t>The panel layer</t>
  </si>
  <si>
    <t>T-05</t>
  </si>
  <si>
    <t>micro.applications(_india)</t>
  </si>
  <si>
    <t>One row per application</t>
  </si>
  <si>
    <t>Home Credit / HMDA shape</t>
  </si>
  <si>
    <t>app_id, applicant features, bureau features, decision, outcome</t>
  </si>
  <si>
    <t>S-006/013/017/018/103</t>
  </si>
  <si>
    <t>Includes rejects where available</t>
  </si>
  <si>
    <t>T-06</t>
  </si>
  <si>
    <t>One row per default event</t>
  </si>
  <si>
    <t>EBA NPL / openNPL</t>
  </si>
  <si>
    <t>entity/facility_id, event_date, type (90dpd/insolvency/suit/rating-D), source</t>
  </si>
  <si>
    <t>AP-1, AP-2, S-030</t>
  </si>
  <si>
    <t>Multi-source event table</t>
  </si>
  <si>
    <t>T-07</t>
  </si>
  <si>
    <t>Event x cashflow</t>
  </si>
  <si>
    <t>EBA NPL templates</t>
  </si>
  <si>
    <t>event_id, date, amount, type (principal/interest/cost), channel, collateral</t>
  </si>
  <si>
    <t>S-001/007/014, AP-1</t>
  </si>
  <si>
    <t>The LGD engine input</t>
  </si>
  <si>
    <t>T-08</t>
  </si>
  <si>
    <t>micro.behavioural_panel / micro.transactions</t>
  </si>
  <si>
    <t>Customer-month / transaction</t>
  </si>
  <si>
    <t>customer_id, period, spend/payment/balance blocks</t>
  </si>
  <si>
    <t>S-019/020/024</t>
  </si>
  <si>
    <t>T-09</t>
  </si>
  <si>
    <t>Source x segment x metric x period</t>
  </si>
  <si>
    <t>Long format</t>
  </si>
  <si>
    <t>source_id, segment_json, metric, period, value, asof, url</t>
  </si>
  <si>
    <t>AP-6 (many)</t>
  </si>
  <si>
    <t>Backbone of Layer 2</t>
  </si>
  <si>
    <t>T-10</t>
  </si>
  <si>
    <t>Bank x exposure class x PD band x ref date</t>
  </si>
  <si>
    <t>Pillar 3 CR6</t>
  </si>
  <si>
    <t>bank, class, pd_band, EAD, wa_PD, wa_LGD, RW, EL</t>
  </si>
  <si>
    <t>S-045/048</t>
  </si>
  <si>
    <t>Feeds AP-4 / M-12</t>
  </si>
  <si>
    <t>T-11</t>
  </si>
  <si>
    <t>Country/entity x quarter</t>
  </si>
  <si>
    <t>ECB SUP / EBA dashboard</t>
  </si>
  <si>
    <t>scope, quarter, stage1/2/3 share, coverage</t>
  </si>
  <si>
    <t>S-049/050, AP-3</t>
  </si>
  <si>
    <t>Include NBFC panel here too</t>
  </si>
  <si>
    <t>T-12</t>
  </si>
  <si>
    <t>Segment/district x period</t>
  </si>
  <si>
    <t>state/district, product, PAR/NPA metric, period, value</t>
  </si>
  <si>
    <t>S-075..S-100</t>
  </si>
  <si>
    <t>T-13</t>
  </si>
  <si>
    <t>agg.card_trust_series / agg.pool_series(_india)</t>
  </si>
  <si>
    <t>Pool x month</t>
  </si>
  <si>
    <t>10-D / rationale-derived</t>
  </si>
  <si>
    <t>pool_id, month, chargeoff, delinq buckets, MPR/CCE, CE</t>
  </si>
  <si>
    <t>S-009, S-102</t>
  </si>
  <si>
    <t>T-14</t>
  </si>
  <si>
    <t>Scenario</t>
  </si>
  <si>
    <t>Scenario x variable x period</t>
  </si>
  <si>
    <t>Fed/EBA/BoE/RBI/NGFS</t>
  </si>
  <si>
    <t>scenario_id, variable, period, value, vintage</t>
  </si>
  <si>
    <t>T-15</t>
  </si>
  <si>
    <t>Index x geography x period</t>
  </si>
  <si>
    <t>index_id, geo, period, value</t>
  </si>
  <si>
    <t>S-005/026/088</t>
  </si>
  <si>
    <t>HPI, Manheim, RESIDEX</t>
  </si>
  <si>
    <t>T-16</t>
  </si>
  <si>
    <t>Meta</t>
  </si>
  <si>
    <t>meta.source_registry + meta.load_log</t>
  </si>
  <si>
    <t>Source / load event</t>
  </si>
  <si>
    <t>This workbook</t>
  </si>
  <si>
    <t>source_id, license, fetch date, rows, QA status</t>
  </si>
  <si>
    <t>Mirror of 1_Sources for lineage</t>
  </si>
  <si>
    <t>6. KEY ANCHOR NUMBERS — calibration reference</t>
  </si>
  <si>
    <t>Verified headline numbers with as-of dates. These are the targets synthetic books and models must reproduce. Full context in landscape doc.</t>
  </si>
  <si>
    <t>Theme</t>
  </si>
  <si>
    <t>Metric</t>
  </si>
  <si>
    <t>Segment / scope</t>
  </si>
  <si>
    <t>Value</t>
  </si>
  <si>
    <t>As-of</t>
  </si>
  <si>
    <t>Use in models</t>
  </si>
  <si>
    <t>A-01</t>
  </si>
  <si>
    <t>India LGD</t>
  </si>
  <si>
    <t>IBC recovery rate (realisation vs claims, annual)</t>
  </si>
  <si>
    <t>India corporate, FY25</t>
  </si>
  <si>
    <t>~37%</t>
  </si>
  <si>
    <t>FY25</t>
  </si>
  <si>
    <t>RBI Trend &amp; Progress (Dec-25)</t>
  </si>
  <si>
    <t>Corporate LGD by channel</t>
  </si>
  <si>
    <t>A-02</t>
  </si>
  <si>
    <t>SARFAESI recovery rate</t>
  </si>
  <si>
    <t>India, FY25</t>
  </si>
  <si>
    <t>31.5%</t>
  </si>
  <si>
    <t>RBI T&amp;P</t>
  </si>
  <si>
    <t>Secured retail/SME LGD</t>
  </si>
  <si>
    <t>A-03</t>
  </si>
  <si>
    <t>Lok Adalat recovery rate</t>
  </si>
  <si>
    <t>2.4%</t>
  </si>
  <si>
    <t>Small-ticket LGD</t>
  </si>
  <si>
    <t>A-04</t>
  </si>
  <si>
    <t>IBBI cumulative realisation vs admitted claims</t>
  </si>
  <si>
    <t>India CIRPs, cum. to Mar-26</t>
  </si>
  <si>
    <t>30.6%</t>
  </si>
  <si>
    <t>Mar-26</t>
  </si>
  <si>
    <t>IBBI quarterly newsletter</t>
  </si>
  <si>
    <t>Corporate LGD level (cutoff-sensitive: 33.7% Jun-25)</t>
  </si>
  <si>
    <t>A-05</t>
  </si>
  <si>
    <t>IBBI realisation vs liquidation value / vs fair value</t>
  </si>
  <si>
    <t>India CIRPs, cum.</t>
  </si>
  <si>
    <t>166.9% / 94.6%</t>
  </si>
  <si>
    <t>Recovery vs collateral-value benchmarks</t>
  </si>
  <si>
    <t>A-06</t>
  </si>
  <si>
    <t>Avg time: closed liquidations</t>
  </si>
  <si>
    <t>~691 days</t>
  </si>
  <si>
    <t>Discounting/workout duration</t>
  </si>
  <si>
    <t>A-07</t>
  </si>
  <si>
    <t>ARC security-receipt cumulative recovery</t>
  </si>
  <si>
    <t>India SRs</t>
  </si>
  <si>
    <t>65-70% FY25E; 75-80% FY26E</t>
  </si>
  <si>
    <t>Jun-25</t>
  </si>
  <si>
    <t>CRISIL SR study</t>
  </si>
  <si>
    <t>Distressed secondary-market LGD</t>
  </si>
  <si>
    <t>A-08</t>
  </si>
  <si>
    <t>Wholesale LGD</t>
  </si>
  <si>
    <t>GCD LGD: unsecured / secured</t>
  </si>
  <si>
    <t>Global wholesale</t>
  </si>
  <si>
    <t>~27% / ~22%</t>
  </si>
  <si>
    <t>2024 reports</t>
  </si>
  <si>
    <t>GCD free library</t>
  </si>
  <si>
    <t>§3.3</t>
  </si>
  <si>
    <t>Wholesale LGD priors</t>
  </si>
  <si>
    <t>A-09</t>
  </si>
  <si>
    <t>GCD LGD: senior / subordinated; time-to-recovery</t>
  </si>
  <si>
    <t>26% / 38%; ~1.2y median</t>
  </si>
  <si>
    <t>Seniority splits, timing</t>
  </si>
  <si>
    <t>A-10</t>
  </si>
  <si>
    <t>Banca d'Italia bad-loan recovery rate</t>
  </si>
  <si>
    <t>Italy, 2024 (series 2006+)</t>
  </si>
  <si>
    <t>41% avg (sec 44%, unsec 37%)</t>
  </si>
  <si>
    <t>Dec-25 note</t>
  </si>
  <si>
    <t>BdI Notes No. 48</t>
  </si>
  <si>
    <t>Workout-LGD time series; downturn evidence</t>
  </si>
  <si>
    <t>A-11</t>
  </si>
  <si>
    <t>NPL sale price vs GBV</t>
  </si>
  <si>
    <t>Italy sofferenze / other NPE</t>
  </si>
  <si>
    <t>24% / 51%</t>
  </si>
  <si>
    <t>2024</t>
  </si>
  <si>
    <t>BdI No. 48</t>
  </si>
  <si>
    <t>Sale-vs-workout discount</t>
  </si>
  <si>
    <t>A-12</t>
  </si>
  <si>
    <t>GEMs private-counterpart default rate / recovery</t>
  </si>
  <si>
    <t>EM, 1994-2024</t>
  </si>
  <si>
    <t>3.54% / 72.9%</t>
  </si>
  <si>
    <t>Oct-25 release</t>
  </si>
  <si>
    <t>GEMs statistics</t>
  </si>
  <si>
    <t>§2.7</t>
  </si>
  <si>
    <t>EM PD/LGD priors</t>
  </si>
  <si>
    <t>A-13</t>
  </si>
  <si>
    <t>GEMs public-counterpart default / recovery</t>
  </si>
  <si>
    <t>EM sovereign-adjacent</t>
  </si>
  <si>
    <t>2.61% / 85.8%</t>
  </si>
  <si>
    <t>Oct-25</t>
  </si>
  <si>
    <t>GEMs</t>
  </si>
  <si>
    <t>Sovereign-adjacent priors</t>
  </si>
  <si>
    <t>A-14</t>
  </si>
  <si>
    <t>Corporate PD</t>
  </si>
  <si>
    <t>S&amp;P 2024 global defaults; distressed-exchange share</t>
  </si>
  <si>
    <t>Global corporates</t>
  </si>
  <si>
    <t>145 defaults; 59.3% DE</t>
  </si>
  <si>
    <t>S&amp;P annual study (Mar-25)</t>
  </si>
  <si>
    <t>§2.6</t>
  </si>
  <si>
    <t>TTC calibration; Gini 89.4%</t>
  </si>
  <si>
    <t>A-15</t>
  </si>
  <si>
    <t>Muni vs corporate senior unsecured recovery</t>
  </si>
  <si>
    <t>US</t>
  </si>
  <si>
    <t>~67% vs ~47%</t>
  </si>
  <si>
    <t>2022 ed.</t>
  </si>
  <si>
    <t>Moody's muni study</t>
  </si>
  <si>
    <t>Low-default-portfolio LGD</t>
  </si>
  <si>
    <t>A-16</t>
  </si>
  <si>
    <t>India PD</t>
  </si>
  <si>
    <t>CRISIL 1-yr default rates by rating (approx)</t>
  </si>
  <si>
    <t>India corporates</t>
  </si>
  <si>
    <t>AAA ~0%; AA ~0.2%; A ~1.5%; BBB ~5%; &lt;=BB &gt;20%</t>
  </si>
  <si>
    <t>FY24 study</t>
  </si>
  <si>
    <t>CRISIL default study</t>
  </si>
  <si>
    <t>India rating-PD mapping</t>
  </si>
  <si>
    <t>A-17</t>
  </si>
  <si>
    <t>NeSL contractual default incidence</t>
  </si>
  <si>
    <t>India corporate debt</t>
  </si>
  <si>
    <t>~3.75% of corporate debt</t>
  </si>
  <si>
    <t>FY25 newsletters</t>
  </si>
  <si>
    <t>PD independent of NPA accounting</t>
  </si>
  <si>
    <t>A-18</t>
  </si>
  <si>
    <t>India system</t>
  </si>
  <si>
    <t>SCB GNPA</t>
  </si>
  <si>
    <t>1.8% (multi-decadal low)</t>
  </si>
  <si>
    <t>RBI FSR Jun-26</t>
  </si>
  <si>
    <t>Baseline asset quality</t>
  </si>
  <si>
    <t>A-19</t>
  </si>
  <si>
    <t>India stress</t>
  </si>
  <si>
    <t>FSR baseline GNPA projection</t>
  </si>
  <si>
    <t>~1.9% by Mar-28</t>
  </si>
  <si>
    <t>Jun-26</t>
  </si>
  <si>
    <t>RBI FSR</t>
  </si>
  <si>
    <t>Baseline scenario target</t>
  </si>
  <si>
    <t>A-20</t>
  </si>
  <si>
    <t>FSR severe-adverse: system CRAR; adverse GNPA</t>
  </si>
  <si>
    <t>CRAR 17.7% -&gt; ~13.0%; adverse GNPA ~3.8-4.1% (v1, verify)</t>
  </si>
  <si>
    <t>Severe-scenario validation target</t>
  </si>
  <si>
    <t>A-21</t>
  </si>
  <si>
    <t>India staging</t>
  </si>
  <si>
    <t>PSB retail SMA-0/1/2 share</t>
  </si>
  <si>
    <t>India PSBs retail</t>
  </si>
  <si>
    <t>9.4%</t>
  </si>
  <si>
    <t>SICR/staging calibration</t>
  </si>
  <si>
    <t>A-22</t>
  </si>
  <si>
    <t>Large-borrower GNPA (CRILC)</t>
  </si>
  <si>
    <t>India large borrowers</t>
  </si>
  <si>
    <t>1.2%</t>
  </si>
  <si>
    <t>Wholesale staging anchor</t>
  </si>
  <si>
    <t>A-23</t>
  </si>
  <si>
    <t>India sector</t>
  </si>
  <si>
    <t>Agriculture GNPA (worst sector)</t>
  </si>
  <si>
    <t>~5.1%</t>
  </si>
  <si>
    <t>Jun-26 FSR</t>
  </si>
  <si>
    <t>Sector heterogeneity</t>
  </si>
  <si>
    <t>A-24</t>
  </si>
  <si>
    <t>India ECL</t>
  </si>
  <si>
    <t>RBI ECL prudential floors</t>
  </si>
  <si>
    <t>India banks</t>
  </si>
  <si>
    <t>Stage-1 ~0.40%; Stage-2 ~5%</t>
  </si>
  <si>
    <t>Apr-26 directions</t>
  </si>
  <si>
    <t>§4.1</t>
  </si>
  <si>
    <t>ECL engine constraints</t>
  </si>
  <si>
    <t>A-25</t>
  </si>
  <si>
    <t>SICR presumption; effective date; glide path</t>
  </si>
  <si>
    <t>30 dpd; 1-Apr-2027; to FY2031</t>
  </si>
  <si>
    <t>Apr-26</t>
  </si>
  <si>
    <t>RBI ECL Directions</t>
  </si>
  <si>
    <t>Build-target spec</t>
  </si>
  <si>
    <t>A-26</t>
  </si>
  <si>
    <t>MFIN PAR 31-180 (cycle)</t>
  </si>
  <si>
    <t>India MFI</t>
  </si>
  <si>
    <t>6.3% (Mar-25) -&gt; 2.0% (Mar-26)</t>
  </si>
  <si>
    <t>Q4 FY26</t>
  </si>
  <si>
    <t>MFIN Micrometer 57</t>
  </si>
  <si>
    <t>§4.3</t>
  </si>
  <si>
    <t>Full-cycle PD calibration</t>
  </si>
  <si>
    <t>A-27</t>
  </si>
  <si>
    <t>Equifax MFI delinquency</t>
  </si>
  <si>
    <t>6.64% (Mar-25) -&gt; 2.35% (Mar-26)</t>
  </si>
  <si>
    <t>SIDBI-Equifax Pulse XXVII</t>
  </si>
  <si>
    <t>Cross-check tracker</t>
  </si>
  <si>
    <t>A-28</t>
  </si>
  <si>
    <t>Sa-Dhan PAR30+ / PAR90+</t>
  </si>
  <si>
    <t>India MFI, FY25 peak</t>
  </si>
  <si>
    <t>6.2% / 4.8%</t>
  </si>
  <si>
    <t>Sa-Dhan BMR 2025</t>
  </si>
  <si>
    <t>Stress-year calibration</t>
  </si>
  <si>
    <t>A-29</t>
  </si>
  <si>
    <t>CRIF retail PAR (all retail)</t>
  </si>
  <si>
    <t>India retail</t>
  </si>
  <si>
    <t>3.1% (from 3.6% YoY)</t>
  </si>
  <si>
    <t>FY26</t>
  </si>
  <si>
    <t>CRIF How India Lends May-26</t>
  </si>
  <si>
    <t>Retail book anchor</t>
  </si>
  <si>
    <t>A-30</t>
  </si>
  <si>
    <t>CIBIL CMI; home-loan delinquency</t>
  </si>
  <si>
    <t>CMI 102; home 0.7-0.8%</t>
  </si>
  <si>
    <t>Dec-25 data</t>
  </si>
  <si>
    <t>TU CIBIL CMI Mar-26</t>
  </si>
  <si>
    <t>Product/tier anchors</t>
  </si>
  <si>
    <t>A-31</t>
  </si>
  <si>
    <t>Digital PL</t>
  </si>
  <si>
    <t>FACE fintech PL 90+ DPD</t>
  </si>
  <si>
    <t>India digital PL</t>
  </si>
  <si>
    <t>3.6% (tier-3 4.2%)</t>
  </si>
  <si>
    <t>Mar-25</t>
  </si>
  <si>
    <t>FACE quarterly</t>
  </si>
  <si>
    <t>Digital-lending risk delta</t>
  </si>
  <si>
    <t>A-32</t>
  </si>
  <si>
    <t>HFC GNPA</t>
  </si>
  <si>
    <t>India HFCs</t>
  </si>
  <si>
    <t>2.32%</t>
  </si>
  <si>
    <t>Mar-24</t>
  </si>
  <si>
    <t>NHB T&amp;P Housing</t>
  </si>
  <si>
    <t>Housing anchor</t>
  </si>
  <si>
    <t>A-33</t>
  </si>
  <si>
    <t>SHG-BLP NPA</t>
  </si>
  <si>
    <t>India SHG</t>
  </si>
  <si>
    <t>2.12%</t>
  </si>
  <si>
    <t>FY24</t>
  </si>
  <si>
    <t>NABARD SoMFI</t>
  </si>
  <si>
    <t>Group-lending anchor</t>
  </si>
  <si>
    <t>A-34</t>
  </si>
  <si>
    <t>Mudra PSB NPA</t>
  </si>
  <si>
    <t>India micro-enterprise</t>
  </si>
  <si>
    <t>3.4%</t>
  </si>
  <si>
    <t>PQ answers</t>
  </si>
  <si>
    <t>Micro-enterprise PD proxy</t>
  </si>
  <si>
    <t>A-35</t>
  </si>
  <si>
    <t>NBFC ECL</t>
  </si>
  <si>
    <t>Bajaj Finance Stage-3 PCR</t>
  </si>
  <si>
    <t>India NBFC</t>
  </si>
  <si>
    <t>54% (FY25) -&gt; 60% (FY26)</t>
  </si>
  <si>
    <t>Bajaj AR/presentations</t>
  </si>
  <si>
    <t>NBFC coverage benchmark</t>
  </si>
  <si>
    <t>A-36</t>
  </si>
  <si>
    <t>Chola Gross Stage 3 vs IRACP GNPA</t>
  </si>
  <si>
    <t>GS3 2.81% vs GNPA 3.97%</t>
  </si>
  <si>
    <t>Chola AR + ECL doc</t>
  </si>
  <si>
    <t>Ind-AS vs IRACP gap</t>
  </si>
  <si>
    <t>A-37</t>
  </si>
  <si>
    <t>Shriram Gross/Net Stage 3</t>
  </si>
  <si>
    <t>India NBFC (CV)</t>
  </si>
  <si>
    <t>4.55% / 2.64%</t>
  </si>
  <si>
    <t>Shriram AR</t>
  </si>
  <si>
    <t>CV segment anchor</t>
  </si>
  <si>
    <t>A-38</t>
  </si>
  <si>
    <t>EU staging</t>
  </si>
  <si>
    <t>EBA Stage-2 share: NFC / household</t>
  </si>
  <si>
    <t>EU banks</t>
  </si>
  <si>
    <t>12.8% / 8.5%</t>
  </si>
  <si>
    <t>Q1-26</t>
  </si>
  <si>
    <t>EBA Risk Dashboard</t>
  </si>
  <si>
    <t>Stage-allocation benchmark</t>
  </si>
  <si>
    <t>A-39</t>
  </si>
  <si>
    <t>US stress</t>
  </si>
  <si>
    <t>DFAST projected losses (total / card / C&amp;I / CRE)</t>
  </si>
  <si>
    <t>US large banks</t>
  </si>
  <si>
    <t>~$708bn / ~$200bn / ~$160bn / ~$75bn</t>
  </si>
  <si>
    <t>2026 exercise</t>
  </si>
  <si>
    <t>Fed DFAST</t>
  </si>
  <si>
    <t>§3.2</t>
  </si>
  <si>
    <t>Stressed loss-rate anchors</t>
  </si>
  <si>
    <t>A-40</t>
  </si>
  <si>
    <t>Peak NPL in systemic crises (median)</t>
  </si>
  <si>
    <t>Advanced / EM economies</t>
  </si>
  <si>
    <t>~11% / ~30%</t>
  </si>
  <si>
    <t>Laeven-Valencia 2026</t>
  </si>
  <si>
    <t>§3.6</t>
  </si>
  <si>
    <t>Severe/tail scenario anchor</t>
  </si>
  <si>
    <t>A-41</t>
  </si>
  <si>
    <t>EAD</t>
  </si>
  <si>
    <t>GP cardholders paying minimum (US)</t>
  </si>
  <si>
    <t>US cards</t>
  </si>
  <si>
    <t>15% (highest since 2015)</t>
  </si>
  <si>
    <t>2025 report</t>
  </si>
  <si>
    <t>CFPB CARD Act</t>
  </si>
  <si>
    <t>Payment-rate/EAD anchor</t>
  </si>
  <si>
    <t>A-42</t>
  </si>
  <si>
    <t>Trade product default rates</t>
  </si>
  <si>
    <t>Global trade finance</t>
  </si>
  <si>
    <t>&lt;~0.3%</t>
  </si>
  <si>
    <t>2024 register</t>
  </si>
  <si>
    <t>§2.8</t>
  </si>
  <si>
    <t>Trade-book PD prior</t>
  </si>
  <si>
    <t>A-43</t>
  </si>
  <si>
    <t>India write-offs</t>
  </si>
  <si>
    <t>Bank write-offs (5y + H1 FY26) / FY16-FY25</t>
  </si>
  <si>
    <t>Rs 8.9 lakh cr / Rs 12.08 lakh cr</t>
  </si>
  <si>
    <t>Dec-25 PQ</t>
  </si>
  <si>
    <t>Lok Sabha / Rajya Sabha</t>
  </si>
  <si>
    <t>Loss-flow context</t>
  </si>
  <si>
    <t>A-44</t>
  </si>
  <si>
    <t>Securitisation</t>
  </si>
  <si>
    <t>India securitisation volume</t>
  </si>
  <si>
    <t>India, FY26</t>
  </si>
  <si>
    <t>Rs 2.55 lakh cr</t>
  </si>
  <si>
    <t>CRISIL PR</t>
  </si>
  <si>
    <t>§4.6</t>
  </si>
  <si>
    <t>Pool-data sample size</t>
  </si>
  <si>
    <t>7. LICENSING REGISTER — check before you build on it</t>
  </si>
  <si>
    <t>Summary judgements only — re-read source terms before any external release. Doc §8.</t>
  </si>
  <si>
    <t>Source group</t>
  </si>
  <si>
    <t>License / constraint</t>
  </si>
  <si>
    <t>Prototype use</t>
  </si>
  <si>
    <t>Commercial product</t>
  </si>
  <si>
    <t>Redistribution</t>
  </si>
  <si>
    <t>Fannie / Freddie / Ginnie</t>
  </si>
  <si>
    <t>Free; terms restrict redistribution</t>
  </si>
  <si>
    <t>OK</t>
  </si>
  <si>
    <t>Review terms</t>
  </si>
  <si>
    <t>No</t>
  </si>
  <si>
    <t>Fine for internal prototypes; read terms before publishing derived data</t>
  </si>
  <si>
    <t>Kaggle competition data (Amex, Home Credit, LTFS mirrors, GMSC)</t>
  </si>
  <si>
    <t>Competition rules: academic/non-commercial</t>
  </si>
  <si>
    <t>No (without permission)</t>
  </si>
  <si>
    <t>Prototype &amp; teach yes; productize no</t>
  </si>
  <si>
    <t>Bondora/Go&amp;Grow, Berka, MIX Market, South German Credit</t>
  </si>
  <si>
    <t>Open / CC BY 4.0 / research use</t>
  </si>
  <si>
    <t>Mostly OK (attribute)</t>
  </si>
  <si>
    <t>CC BY: yes with attribution</t>
  </si>
  <si>
    <t>MIX &amp; South German are CC BY 4.0</t>
  </si>
  <si>
    <t>NUS-CRI</t>
  </si>
  <si>
    <t>Free with credentials; non-commercial only</t>
  </si>
  <si>
    <t>No (separate arrangement)</t>
  </si>
  <si>
    <t>Commercial use needs agreement</t>
  </si>
  <si>
    <t>Bureau/industry PDFs (CIBIL, CRIF, MFIN, Sa-Dhan, Equifax, FACE)</t>
  </si>
  <si>
    <t>Copyrighted reports</t>
  </si>
  <si>
    <t>OK (model from)</t>
  </si>
  <si>
    <t>Derived models OK; tables no</t>
  </si>
  <si>
    <t>Don't republish extracted tables</t>
  </si>
  <si>
    <t>CRA disclosures (Annexure V/VI, studies, rationales)</t>
  </si>
  <si>
    <t>Public regulatory disclosures</t>
  </si>
  <si>
    <t>Derived datasets: cite</t>
  </si>
  <si>
    <t>Avoid wholesale republication</t>
  </si>
  <si>
    <t>SEBI-mandated transparency</t>
  </si>
  <si>
    <t>Government/regulator open data (RBI, IBBI, NeSL, CGTMSE, SEC, SBA, Fed, FDIC, NCUA, data.gov.in, IMF, BIS, WB, EBA, ECB)</t>
  </si>
  <si>
    <t>Public domain / open government</t>
  </si>
  <si>
    <t>Generally OK (attribute)</t>
  </si>
  <si>
    <t>The safest layer</t>
  </si>
  <si>
    <t>GCD / Japan CRD raw pools</t>
  </si>
  <si>
    <t>Members only (regulated lenders, give-to-get)</t>
  </si>
  <si>
    <t>Via member bank only</t>
  </si>
  <si>
    <t>Free summary reports usable as priors</t>
  </si>
  <si>
    <t>Moody's / S&amp;P / Fitch studies</t>
  </si>
  <si>
    <t>Copyright; free access</t>
  </si>
  <si>
    <t>OK (cite)</t>
  </si>
  <si>
    <t>Cite; don't reproduce tables</t>
  </si>
  <si>
    <t>Digitize numbers with provenance</t>
  </si>
  <si>
    <t>Moody's DRD / S&amp;P CreditPro / Trepp / LCD / Orbis</t>
  </si>
  <si>
    <t>Paid licenses</t>
  </si>
  <si>
    <t>If licensed</t>
  </si>
  <si>
    <t>Check WRDS/university access first</t>
  </si>
  <si>
    <t>CIC defaulter registries (search portals)</t>
  </si>
  <si>
    <t>Public dissemination, search-only; ToS on scraping</t>
  </si>
  <si>
    <t>Careful (legal review)</t>
  </si>
  <si>
    <t>Careful</t>
  </si>
  <si>
    <t>No bulk republication</t>
  </si>
  <si>
    <t>Throttled, documented protocol; Experian most tolerant</t>
  </si>
  <si>
    <t>Manheim index</t>
  </si>
  <si>
    <t>Free download, no formal open license</t>
  </si>
  <si>
    <t>Review</t>
  </si>
  <si>
    <t>Cox Automotive property</t>
  </si>
  <si>
    <t>Registration; bulk paid</t>
  </si>
  <si>
    <t>Templates: OK</t>
  </si>
  <si>
    <t>Data: license needed</t>
  </si>
  <si>
    <t>Use ESMA templates as free schema</t>
  </si>
  <si>
    <t>P2P platform disclosures</t>
  </si>
  <si>
    <t>RBI-mandated public disclosure</t>
  </si>
  <si>
    <t>Cite platform</t>
  </si>
  <si>
    <t>Aggregate series fine</t>
  </si>
  <si>
    <t>8. WATCHLIST — unverified items &amp; upcoming releases</t>
  </si>
  <si>
    <t>Things to re-check plus the release calendar that should trigger refreshes.</t>
  </si>
  <si>
    <t>Item</t>
  </si>
  <si>
    <t>Type</t>
  </si>
  <si>
    <t>Expected / check date</t>
  </si>
  <si>
    <t>Action needed</t>
  </si>
  <si>
    <t>W-01</t>
  </si>
  <si>
    <t>FSR Jun-2026 adverse-scenario GNPA print (v1 carried 3.8-4.1%)</t>
  </si>
  <si>
    <t>Unverified</t>
  </si>
  <si>
    <t>Aug-2026</t>
  </si>
  <si>
    <t>Open FSR PDF, confirm adverse GNPA path</t>
  </si>
  <si>
    <t>rbidocs bot-gated - manual download</t>
  </si>
  <si>
    <t>W-02</t>
  </si>
  <si>
    <t>Moody's annual default study 2026 edition (2025 data)</t>
  </si>
  <si>
    <t>Check now</t>
  </si>
  <si>
    <t>Locate via ratings.moodys.com registration or mirror</t>
  </si>
  <si>
    <t>W-03</t>
  </si>
  <si>
    <t>NABARD Status of Microfinance FY25 edition</t>
  </si>
  <si>
    <t>Sep-2026</t>
  </si>
  <si>
    <t>Check nabard.org publications</t>
  </si>
  <si>
    <t>W-04</t>
  </si>
  <si>
    <t>Equifax India defaulter search portal</t>
  </si>
  <si>
    <t>When needed</t>
  </si>
  <si>
    <t>Locate portal or confirm absence</t>
  </si>
  <si>
    <t>W-05</t>
  </si>
  <si>
    <t>Mintos loan-book export current availability</t>
  </si>
  <si>
    <t>Login and check export</t>
  </si>
  <si>
    <t>W-06</t>
  </si>
  <si>
    <t>ECGC annual-report claims data (export-credit loss proxy)</t>
  </si>
  <si>
    <t>Pull latest ECGC AR; extract claims vs premium</t>
  </si>
  <si>
    <t>§5.1 addition</t>
  </si>
  <si>
    <t>W-07</t>
  </si>
  <si>
    <t>ELFA MLFI-25 / Equifax SBLI / KC Fed / Moody's project finance current editions</t>
  </si>
  <si>
    <t>Unverified (§2.11)</t>
  </si>
  <si>
    <t>Re-verify sources and access</t>
  </si>
  <si>
    <t>Added from coverage audit</t>
  </si>
  <si>
    <t>W-08</t>
  </si>
  <si>
    <t>Fitch study access route (registration)</t>
  </si>
  <si>
    <t>Register and confirm downloads</t>
  </si>
  <si>
    <t>W-09</t>
  </si>
  <si>
    <t>MFIN Micrometer 58 (Q1 FY27)</t>
  </si>
  <si>
    <t>Upcoming release</t>
  </si>
  <si>
    <t>~Sep-2026</t>
  </si>
  <si>
    <t>Ingest into PL-26</t>
  </si>
  <si>
    <t>W-10</t>
  </si>
  <si>
    <t>CRISIL default &amp; transition study FY2026</t>
  </si>
  <si>
    <t>~Dec-2026</t>
  </si>
  <si>
    <t>Digitize into anchors</t>
  </si>
  <si>
    <t>W-11</t>
  </si>
  <si>
    <t>RBI FSR Dec-2026</t>
  </si>
  <si>
    <t>Update anchors + scenario annex</t>
  </si>
  <si>
    <t>W-12</t>
  </si>
  <si>
    <t>RBI T&amp;P 2025-26 (recovery-by-channel FY26)</t>
  </si>
  <si>
    <t>Update A-01..A-03</t>
  </si>
  <si>
    <t>W-13</t>
  </si>
  <si>
    <t>EBA P3DH full-year 2025 ref-date data + 2026 dates</t>
  </si>
  <si>
    <t>H2-2026</t>
  </si>
  <si>
    <t>Extend AP-4 panel</t>
  </si>
  <si>
    <t>W-14</t>
  </si>
  <si>
    <t>NGFS Phase VI (physical-risk overhaul)</t>
  </si>
  <si>
    <t>End-2026</t>
  </si>
  <si>
    <t>Re-run climate overlays on Phase VI</t>
  </si>
  <si>
    <t>Time climate work accordingly</t>
  </si>
  <si>
    <t>W-15</t>
  </si>
  <si>
    <t>BoE 2026 desk-based stress test publication</t>
  </si>
  <si>
    <t>Q4-2026</t>
  </si>
  <si>
    <t>Ingest aggregate results</t>
  </si>
  <si>
    <t>W-16</t>
  </si>
  <si>
    <t>EBA Transparency Exercise Dec-2026</t>
  </si>
  <si>
    <t>Dec-2026</t>
  </si>
  <si>
    <t>Refresh bank panel</t>
  </si>
  <si>
    <t>W-17</t>
  </si>
  <si>
    <t>RBI final Model Risk Management guidance (post-consultation)</t>
  </si>
  <si>
    <t>H2-2026?</t>
  </si>
  <si>
    <t>Align validation-doc templates</t>
  </si>
  <si>
    <t>Draft closed Jul-2026</t>
  </si>
  <si>
    <t>W-18</t>
  </si>
  <si>
    <t>RBI climate disclosure framework finalization / scenario guidance</t>
  </si>
  <si>
    <t>Unknown</t>
  </si>
  <si>
    <t>Track; RB-CRIS phase-2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</si>
</sst>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9"/>
      <name val="Arial"/>
    </font>
    <font>
      <u/>
      <sz val="9"/>
      <color rgb="FF0563C1"/>
      <name val="Arial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EDF2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/>
    <xf numFmtId="0" fontId="3" fillId="2" borderId="1" xfId="0" applyFont="1" applyFill="1" applyBorder="1"/>
    <xf numFmtId="0" fontId="5" fillId="0" borderId="1" xfId="0" applyFont="1" applyBorder="1"/>
    <xf numFmtId="0" fontId="5" fillId="3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4" borderId="0" xfId="0" applyFont="1" applyFill="1"/>
    <xf numFmtId="0" fontId="5" fillId="5" borderId="0" xfId="0" applyFont="1" applyFill="1"/>
    <xf numFmtId="1" fontId="7" fillId="5" borderId="0" xfId="0" applyNumberFormat="1" applyFont="1" applyFill="1" applyAlignment="1">
      <alignment horizontal="center"/>
    </xf>
    <xf numFmtId="0" fontId="3" fillId="2" borderId="0" xfId="0" applyFont="1" applyFill="1"/>
    <xf numFmtId="1" fontId="5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64" fontId="7" fillId="5" borderId="0" xfId="0" applyNumberFormat="1" applyFont="1" applyFill="1" applyAlignment="1">
      <alignment horizontal="center"/>
    </xf>
    <xf numFmtId="9" fontId="5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48">
    <dxf>
      <font>
        <color rgb="FF80808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0808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0808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0808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0808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0808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ite.manheim.com/en/services/consulting/used-vehicle-value-index.html" TargetMode="External"/><Relationship Id="rId21" Type="http://schemas.openxmlformats.org/officeDocument/2006/relationships/hyperlink" Target="https://archive.ics.uci.edu/dataset/522/south+german+credit" TargetMode="External"/><Relationship Id="rId42" Type="http://schemas.openxmlformats.org/officeDocument/2006/relationships/hyperlink" Target="https://www.elfaonline.org/" TargetMode="External"/><Relationship Id="rId47" Type="http://schemas.openxmlformats.org/officeDocument/2006/relationships/hyperlink" Target="https://www.eba.europa.eu/eu-wide-transparency-exercise-0" TargetMode="External"/><Relationship Id="rId63" Type="http://schemas.openxmlformats.org/officeDocument/2006/relationships/hyperlink" Target="https://studentaid.gov/data-center/" TargetMode="External"/><Relationship Id="rId68" Type="http://schemas.openxmlformats.org/officeDocument/2006/relationships/hyperlink" Target="https://www.worldbank.org/en/publication/gfdr/data/global-financial-development-database" TargetMode="External"/><Relationship Id="rId84" Type="http://schemas.openxmlformats.org/officeDocument/2006/relationships/hyperlink" Target="https://www.nseindia.com/" TargetMode="External"/><Relationship Id="rId89" Type="http://schemas.openxmlformats.org/officeDocument/2006/relationships/hyperlink" Target="https://residex.nhbonline.org.in/" TargetMode="External"/><Relationship Id="rId16" Type="http://schemas.openxmlformats.org/officeDocument/2006/relationships/hyperlink" Target="https://www.kiva.org/build" TargetMode="External"/><Relationship Id="rId107" Type="http://schemas.openxmlformats.org/officeDocument/2006/relationships/hyperlink" Target="https://www.screener.in/" TargetMode="External"/><Relationship Id="rId11" Type="http://schemas.openxmlformats.org/officeDocument/2006/relationships/hyperlink" Target="https://eurodw.eu/" TargetMode="External"/><Relationship Id="rId32" Type="http://schemas.openxmlformats.org/officeDocument/2006/relationships/hyperlink" Target="https://ratings.moodys.com/" TargetMode="External"/><Relationship Id="rId37" Type="http://schemas.openxmlformats.org/officeDocument/2006/relationships/hyperlink" Target="https://www.bankofcanada.ca/2024/07/staff-analytical-note-2024-19/" TargetMode="External"/><Relationship Id="rId53" Type="http://schemas.openxmlformats.org/officeDocument/2006/relationships/hyperlink" Target="https://www.bancaditalia.it/pubblicazioni/note-stabilita/2025-0048/index.html?com.dotmarketing.htmlpage.language=1" TargetMode="External"/><Relationship Id="rId58" Type="http://schemas.openxmlformats.org/officeDocument/2006/relationships/hyperlink" Target="https://banks.data.fdic.gov/" TargetMode="External"/><Relationship Id="rId74" Type="http://schemas.openxmlformats.org/officeDocument/2006/relationships/hyperlink" Target="https://www.bddk.org.tr/bultenaylik/en" TargetMode="External"/><Relationship Id="rId79" Type="http://schemas.openxmlformats.org/officeDocument/2006/relationships/hyperlink" Target="https://www.data.gov.in/resource/bank-wise-details-recovery-non-performing-assets-npas-public-sector-banks-2019-20-2024-25" TargetMode="External"/><Relationship Id="rId102" Type="http://schemas.openxmlformats.org/officeDocument/2006/relationships/hyperlink" Target="https://files.cholamandalam.com/ECL_Methodology_4d25bdd042.pdf" TargetMode="External"/><Relationship Id="rId5" Type="http://schemas.openxmlformats.org/officeDocument/2006/relationships/hyperlink" Target="https://www.fhfa.gov/data/hpi/datasets" TargetMode="External"/><Relationship Id="rId90" Type="http://schemas.openxmlformats.org/officeDocument/2006/relationships/hyperlink" Target="https://www.nhb.org.in/" TargetMode="External"/><Relationship Id="rId95" Type="http://schemas.openxmlformats.org/officeDocument/2006/relationships/hyperlink" Target="https://www.crifhighmark.com/media/6802/how-india-lends-report-may-2026.pdf" TargetMode="External"/><Relationship Id="rId22" Type="http://schemas.openxmlformats.org/officeDocument/2006/relationships/hyperlink" Target="https://archive.ics.uci.edu/dataset/350/default+of+credit+card+clients" TargetMode="External"/><Relationship Id="rId27" Type="http://schemas.openxmlformats.org/officeDocument/2006/relationships/hyperlink" Target="https://nuscri.org/en/datadownload/" TargetMode="External"/><Relationship Id="rId43" Type="http://schemas.openxmlformats.org/officeDocument/2006/relationships/hyperlink" Target="https://www.kansascityfed.org/agriculture/" TargetMode="External"/><Relationship Id="rId48" Type="http://schemas.openxmlformats.org/officeDocument/2006/relationships/hyperlink" Target="https://www.eba.europa.eu/" TargetMode="External"/><Relationship Id="rId64" Type="http://schemas.openxmlformats.org/officeDocument/2006/relationships/hyperlink" Target="https://www.bankofengland.co.uk/stress-testing/uk-banks-building-societies/bank-capital-stress-test" TargetMode="External"/><Relationship Id="rId69" Type="http://schemas.openxmlformats.org/officeDocument/2006/relationships/hyperlink" Target="https://archive.doingbusiness.org/en/data/exploretopics/resolving-insolvency" TargetMode="External"/><Relationship Id="rId80" Type="http://schemas.openxmlformats.org/officeDocument/2006/relationships/hyperlink" Target="https://ibbi.gov.in/en/publication" TargetMode="External"/><Relationship Id="rId85" Type="http://schemas.openxmlformats.org/officeDocument/2006/relationships/hyperlink" Target="https://www.crisilratings.com/en/home/our-business/ratings/regulatory-disclosures/disclosures-as-per-sebi-s-circular-cir-mirsd-cra-6-2010.html" TargetMode="External"/><Relationship Id="rId12" Type="http://schemas.openxmlformats.org/officeDocument/2006/relationships/hyperlink" Target="https://data.sba.gov/en/dataset/7-a-504-foia" TargetMode="External"/><Relationship Id="rId17" Type="http://schemas.openxmlformats.org/officeDocument/2006/relationships/hyperlink" Target="https://www.kaggle.com/c/home-credit-default-risk" TargetMode="External"/><Relationship Id="rId33" Type="http://schemas.openxmlformats.org/officeDocument/2006/relationships/hyperlink" Target="https://www.fitchratings.com/" TargetMode="External"/><Relationship Id="rId38" Type="http://schemas.openxmlformats.org/officeDocument/2006/relationships/hyperlink" Target="https://globalcreditdata.org/library/" TargetMode="External"/><Relationship Id="rId59" Type="http://schemas.openxmlformats.org/officeDocument/2006/relationships/hyperlink" Target="https://www.philadelphiafed.org/surveys-and-data/large-bank-credit-card-and-mortgage-data" TargetMode="External"/><Relationship Id="rId103" Type="http://schemas.openxmlformats.org/officeDocument/2006/relationships/hyperlink" Target="https://www.icra.in/" TargetMode="External"/><Relationship Id="rId108" Type="http://schemas.openxmlformats.org/officeDocument/2006/relationships/hyperlink" Target="https://assets.kpmg.com/content/dam/kpmgsites/in/pdf/2026/05/expected-credit-loss.pdf" TargetMode="External"/><Relationship Id="rId54" Type="http://schemas.openxmlformats.org/officeDocument/2006/relationships/hyperlink" Target="https://www.federalreserve.gov/supervisionreg/dfast-archive.htm" TargetMode="External"/><Relationship Id="rId70" Type="http://schemas.openxmlformats.org/officeDocument/2006/relationships/hyperlink" Target="https://www.imf.org/-/media/files/publications/wp/2026/english/wpiea2026094-source-pdf.pdf" TargetMode="External"/><Relationship Id="rId75" Type="http://schemas.openxmlformats.org/officeDocument/2006/relationships/hyperlink" Target="https://bplim.bportugal.pt/" TargetMode="External"/><Relationship Id="rId91" Type="http://schemas.openxmlformats.org/officeDocument/2006/relationships/hyperlink" Target="https://www.crisilratings.com/content/dam/crisilrating/report/2025/06/arcs-recovery-rate-set-to-accelerate/arcs-recovery-rate-set-to-accelerate.pdf" TargetMode="External"/><Relationship Id="rId96" Type="http://schemas.openxmlformats.org/officeDocument/2006/relationships/hyperlink" Target="https://mfinindia.org/" TargetMode="External"/><Relationship Id="rId1" Type="http://schemas.openxmlformats.org/officeDocument/2006/relationships/hyperlink" Target="https://www.freddiemac.com/research/datasets/sf-loanlevel-dataset" TargetMode="External"/><Relationship Id="rId6" Type="http://schemas.openxmlformats.org/officeDocument/2006/relationships/hyperlink" Target="https://ffiec.cfpb.gov/" TargetMode="External"/><Relationship Id="rId15" Type="http://schemas.openxmlformats.org/officeDocument/2006/relationships/hyperlink" Target="https://www.prosper.com/invest" TargetMode="External"/><Relationship Id="rId23" Type="http://schemas.openxmlformats.org/officeDocument/2006/relationships/hyperlink" Target="https://www.kaggle.com/c/GiveMeSomeCredit" TargetMode="External"/><Relationship Id="rId28" Type="http://schemas.openxmlformats.org/officeDocument/2006/relationships/hyperlink" Target="https://ratingshistory.info/" TargetMode="External"/><Relationship Id="rId36" Type="http://schemas.openxmlformats.org/officeDocument/2006/relationships/hyperlink" Target="https://iccwbo.org/news-publications/report/icc-trade-register-report/" TargetMode="External"/><Relationship Id="rId49" Type="http://schemas.openxmlformats.org/officeDocument/2006/relationships/hyperlink" Target="https://www.eba.europa.eu/risk-and-data-analysis/risk-analysis/risk-monitoring/risk-dashboard" TargetMode="External"/><Relationship Id="rId57" Type="http://schemas.openxmlformats.org/officeDocument/2006/relationships/hyperlink" Target="https://ncua.gov/analysis/credit-union-corporate-call-report-data/quarterly-data" TargetMode="External"/><Relationship Id="rId106" Type="http://schemas.openxmlformats.org/officeDocument/2006/relationships/hyperlink" Target="https://www.mca.gov.in/" TargetMode="External"/><Relationship Id="rId10" Type="http://schemas.openxmlformats.org/officeDocument/2006/relationships/hyperlink" Target="https://finsight.com/" TargetMode="External"/><Relationship Id="rId31" Type="http://schemas.openxmlformats.org/officeDocument/2006/relationships/hyperlink" Target="https://www.spglobal.com/ratings/en/regulatory/article/250327-default-transition-and-recovery-2024-annual-global-corporate-default-and-rating-transition-study-s13452126" TargetMode="External"/><Relationship Id="rId44" Type="http://schemas.openxmlformats.org/officeDocument/2006/relationships/hyperlink" Target="https://www.lsta.org/" TargetMode="External"/><Relationship Id="rId52" Type="http://schemas.openxmlformats.org/officeDocument/2006/relationships/hyperlink" Target="https://www.ecb.europa.eu/stats/ecb_statistics/anacredit/html/index.en.html" TargetMode="External"/><Relationship Id="rId60" Type="http://schemas.openxmlformats.org/officeDocument/2006/relationships/hyperlink" Target="https://www.consumerfinance.gov/data-research/consumer-credit-trends/" TargetMode="External"/><Relationship Id="rId65" Type="http://schemas.openxmlformats.org/officeDocument/2006/relationships/hyperlink" Target="https://data.imf.org/en/datasets/IMF.STA:FSIC" TargetMode="External"/><Relationship Id="rId73" Type="http://schemas.openxmlformats.org/officeDocument/2006/relationships/hyperlink" Target="https://opendata.bcb.gov.br/" TargetMode="External"/><Relationship Id="rId78" Type="http://schemas.openxmlformats.org/officeDocument/2006/relationships/hyperlink" Target="https://data.rbi.org.in/" TargetMode="External"/><Relationship Id="rId81" Type="http://schemas.openxmlformats.org/officeDocument/2006/relationships/hyperlink" Target="https://www.nesl.co.in/" TargetMode="External"/><Relationship Id="rId86" Type="http://schemas.openxmlformats.org/officeDocument/2006/relationships/hyperlink" Target="https://www.crisilratings.com/content/dam/crisil/our-analysis/publications/default-study/crisil-ratings-annual-default-and-ratings-transition-study-fy-2025.pdf" TargetMode="External"/><Relationship Id="rId94" Type="http://schemas.openxmlformats.org/officeDocument/2006/relationships/hyperlink" Target="https://www.sidbi.in/msme-pulse" TargetMode="External"/><Relationship Id="rId99" Type="http://schemas.openxmlformats.org/officeDocument/2006/relationships/hyperlink" Target="https://faceofindia.org/news-room/" TargetMode="External"/><Relationship Id="rId101" Type="http://schemas.openxmlformats.org/officeDocument/2006/relationships/hyperlink" Target="https://slbckerala.com/" TargetMode="External"/><Relationship Id="rId4" Type="http://schemas.openxmlformats.org/officeDocument/2006/relationships/hyperlink" Target="https://mf.freddiemac.com/docs/MLPD_data_dictionary.pdf" TargetMode="External"/><Relationship Id="rId9" Type="http://schemas.openxmlformats.org/officeDocument/2006/relationships/hyperlink" Target="https://www.sec.gov/cgi-bin/browse-edgar?action=getcompany&amp;CIK=1174821" TargetMode="External"/><Relationship Id="rId13" Type="http://schemas.openxmlformats.org/officeDocument/2006/relationships/hyperlink" Target="https://www.kaggle.com/datasets/wordsforthewise/lending-club" TargetMode="External"/><Relationship Id="rId18" Type="http://schemas.openxmlformats.org/officeDocument/2006/relationships/hyperlink" Target="https://www.kaggle.com/competitions/home-credit-credit-risk-model-stability" TargetMode="External"/><Relationship Id="rId39" Type="http://schemas.openxmlformats.org/officeDocument/2006/relationships/hyperlink" Target="https://www.creditbenchmark.com/data-insights/" TargetMode="External"/><Relationship Id="rId109" Type="http://schemas.openxmlformats.org/officeDocument/2006/relationships/hyperlink" Target="https://sahamati.org.in/" TargetMode="External"/><Relationship Id="rId34" Type="http://schemas.openxmlformats.org/officeDocument/2006/relationships/hyperlink" Target="https://www.gemsriskdatabase.org/statistics/" TargetMode="External"/><Relationship Id="rId50" Type="http://schemas.openxmlformats.org/officeDocument/2006/relationships/hyperlink" Target="https://data.ecb.europa.eu/data/datasets/SUP" TargetMode="External"/><Relationship Id="rId55" Type="http://schemas.openxmlformats.org/officeDocument/2006/relationships/hyperlink" Target="https://www.federalreserve.gov/releases/chargeoff/" TargetMode="External"/><Relationship Id="rId76" Type="http://schemas.openxmlformats.org/officeDocument/2006/relationships/hyperlink" Target="https://rbidocs.rbi.org.in/rdocs/PublicationReport/Pdfs/0FSRJUNE2026_300626A120EF6C37694C8C933181147F1379D7.PDF" TargetMode="External"/><Relationship Id="rId97" Type="http://schemas.openxmlformats.org/officeDocument/2006/relationships/hyperlink" Target="https://www.sa-dhan.net/bharat-microfinance-report/" TargetMode="External"/><Relationship Id="rId104" Type="http://schemas.openxmlformats.org/officeDocument/2006/relationships/hyperlink" Target="https://www.kaggle.com/datasets/mamtadhaker/lt-vehicle-loan-default-prediction" TargetMode="External"/><Relationship Id="rId7" Type="http://schemas.openxmlformats.org/officeDocument/2006/relationships/hyperlink" Target="https://efts.sec.gov/LATEST/search-index?q=ABS-EE" TargetMode="External"/><Relationship Id="rId71" Type="http://schemas.openxmlformats.org/officeDocument/2006/relationships/hyperlink" Target="https://www.esrb.europa.eu/pub/pdf/occasional/esrb.op13.en.pdf" TargetMode="External"/><Relationship Id="rId92" Type="http://schemas.openxmlformats.org/officeDocument/2006/relationships/hyperlink" Target="https://www.nafscob.org/district-central-co-operative-banks-basic-data.php" TargetMode="External"/><Relationship Id="rId2" Type="http://schemas.openxmlformats.org/officeDocument/2006/relationships/hyperlink" Target="https://capitalmarkets.fanniemae.com/credit-risk-transfer/single-family-credit-risk-transfer/fannie-mae-single-family-loan-performance-data" TargetMode="External"/><Relationship Id="rId29" Type="http://schemas.openxmlformats.org/officeDocument/2006/relationships/hyperlink" Target="https://www.sec.gov/dera/data/financial-statement-data-sets" TargetMode="External"/><Relationship Id="rId24" Type="http://schemas.openxmlformats.org/officeDocument/2006/relationships/hyperlink" Target="https://github.com/SlayZar/alpha_task_2" TargetMode="External"/><Relationship Id="rId40" Type="http://schemas.openxmlformats.org/officeDocument/2006/relationships/hyperlink" Target="https://www.coveredbondlabel.com/htt" TargetMode="External"/><Relationship Id="rId45" Type="http://schemas.openxmlformats.org/officeDocument/2006/relationships/hyperlink" Target="https://www.eba.europa.eu/publications-and-media/press-releases/eba-pillar-3-data-hub-goes-live" TargetMode="External"/><Relationship Id="rId66" Type="http://schemas.openxmlformats.org/officeDocument/2006/relationships/hyperlink" Target="https://www.oecd.org/en/publications/financing-smes-and-entrepreneurs-2026_075d8058-en.html" TargetMode="External"/><Relationship Id="rId87" Type="http://schemas.openxmlformats.org/officeDocument/2006/relationships/hyperlink" Target="https://www.cgtmse.in/Default/ViewFile/CGTMSE-AR-2024-25-english.pdf" TargetMode="External"/><Relationship Id="rId61" Type="http://schemas.openxmlformats.org/officeDocument/2006/relationships/hyperlink" Target="https://www.newyorkfed.org/microeconomics/hhdc" TargetMode="External"/><Relationship Id="rId82" Type="http://schemas.openxmlformats.org/officeDocument/2006/relationships/hyperlink" Target="https://suit.experian.in/DefaultAccount/view/DASearch" TargetMode="External"/><Relationship Id="rId19" Type="http://schemas.openxmlformats.org/officeDocument/2006/relationships/hyperlink" Target="https://www.kaggle.com/competitions/amex-default-prediction" TargetMode="External"/><Relationship Id="rId14" Type="http://schemas.openxmlformats.org/officeDocument/2006/relationships/hyperlink" Target="https://goandgrow.eu/en/public-statistics/" TargetMode="External"/><Relationship Id="rId30" Type="http://schemas.openxmlformats.org/officeDocument/2006/relationships/hyperlink" Target="https://www.fjc.gov/research/idb" TargetMode="External"/><Relationship Id="rId35" Type="http://schemas.openxmlformats.org/officeDocument/2006/relationships/hyperlink" Target="https://www.eib.org/" TargetMode="External"/><Relationship Id="rId56" Type="http://schemas.openxmlformats.org/officeDocument/2006/relationships/hyperlink" Target="https://cdr.ffiec.gov/public/" TargetMode="External"/><Relationship Id="rId77" Type="http://schemas.openxmlformats.org/officeDocument/2006/relationships/hyperlink" Target="https://rbi.org.in/" TargetMode="External"/><Relationship Id="rId100" Type="http://schemas.openxmlformats.org/officeDocument/2006/relationships/hyperlink" Target="https://www.nabard.org/" TargetMode="External"/><Relationship Id="rId105" Type="http://schemas.openxmlformats.org/officeDocument/2006/relationships/hyperlink" Target="https://www.lendenclub.com/portfolio-performance/" TargetMode="External"/><Relationship Id="rId8" Type="http://schemas.openxmlformats.org/officeDocument/2006/relationships/hyperlink" Target="https://www.sec.gov/" TargetMode="External"/><Relationship Id="rId51" Type="http://schemas.openxmlformats.org/officeDocument/2006/relationships/hyperlink" Target="https://www.eba.europa.eu/" TargetMode="External"/><Relationship Id="rId72" Type="http://schemas.openxmlformats.org/officeDocument/2006/relationships/hyperlink" Target="https://www.ngfs.net/ngfs-scenarios-portal/" TargetMode="External"/><Relationship Id="rId93" Type="http://schemas.openxmlformats.org/officeDocument/2006/relationships/hyperlink" Target="https://www.transunioncibil.com/lp/cmi-report-june-2026" TargetMode="External"/><Relationship Id="rId98" Type="http://schemas.openxmlformats.org/officeDocument/2006/relationships/hyperlink" Target="https://assets.equifax.com/marketing/india/assets/mfi-pulse-vol-xxvii-june-2026.pdf" TargetMode="External"/><Relationship Id="rId3" Type="http://schemas.openxmlformats.org/officeDocument/2006/relationships/hyperlink" Target="https://www.ginniemae.gov/" TargetMode="External"/><Relationship Id="rId25" Type="http://schemas.openxmlformats.org/officeDocument/2006/relationships/hyperlink" Target="https://datacatalog.worldbank.org/search/dataset/0038647/mix-market" TargetMode="External"/><Relationship Id="rId46" Type="http://schemas.openxmlformats.org/officeDocument/2006/relationships/hyperlink" Target="https://www.eba.europa.eu/eu-wide-stress-test-2025" TargetMode="External"/><Relationship Id="rId67" Type="http://schemas.openxmlformats.org/officeDocument/2006/relationships/hyperlink" Target="https://data.bis.org/bulkdownload" TargetMode="External"/><Relationship Id="rId20" Type="http://schemas.openxmlformats.org/officeDocument/2006/relationships/hyperlink" Target="https://relational.fel.cvut.cz/dataset/Financial" TargetMode="External"/><Relationship Id="rId41" Type="http://schemas.openxmlformats.org/officeDocument/2006/relationships/hyperlink" Target="https://www.crd-office.net/CRD/en/about/index.html" TargetMode="External"/><Relationship Id="rId62" Type="http://schemas.openxmlformats.org/officeDocument/2006/relationships/hyperlink" Target="https://www.reginfo.gov/public/do/DownloadDocument?objectID=35295601" TargetMode="External"/><Relationship Id="rId83" Type="http://schemas.openxmlformats.org/officeDocument/2006/relationships/hyperlink" Target="https://www.indiabondinfo.nsdl.com/" TargetMode="External"/><Relationship Id="rId88" Type="http://schemas.openxmlformats.org/officeDocument/2006/relationships/hyperlink" Target="https://www.mudra.or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showGridLines="0" tabSelected="1" workbookViewId="0"/>
  </sheetViews>
  <sheetFormatPr defaultRowHeight="14.5" x14ac:dyDescent="0.35"/>
  <cols>
    <col min="1" max="1" width="4" customWidth="1"/>
    <col min="2" max="2" width="8" customWidth="1"/>
    <col min="3" max="3" width="26" customWidth="1"/>
    <col min="4" max="4" width="9" customWidth="1"/>
    <col min="5" max="5" width="10" customWidth="1"/>
    <col min="6" max="6" width="30" customWidth="1"/>
    <col min="7" max="7" width="22" customWidth="1"/>
    <col min="8" max="8" width="40" customWidth="1"/>
  </cols>
  <sheetData>
    <row r="1" spans="1:1" ht="18" x14ac:dyDescent="0.4">
      <c r="A1" s="1" t="s">
        <v>0</v>
      </c>
    </row>
    <row r="2" spans="1:1" x14ac:dyDescent="0.35">
      <c r="A2" s="2" t="s">
        <v>1</v>
      </c>
    </row>
    <row r="3" spans="1:1" x14ac:dyDescent="0.35">
      <c r="A3" s="3"/>
    </row>
    <row r="4" spans="1:1" x14ac:dyDescent="0.35">
      <c r="A4" s="4" t="s">
        <v>2</v>
      </c>
    </row>
    <row r="5" spans="1:1" x14ac:dyDescent="0.35">
      <c r="A5" s="3" t="s">
        <v>3</v>
      </c>
    </row>
    <row r="6" spans="1:1" x14ac:dyDescent="0.35">
      <c r="A6" s="3" t="s">
        <v>4</v>
      </c>
    </row>
    <row r="7" spans="1:1" x14ac:dyDescent="0.35">
      <c r="A7" s="3" t="s">
        <v>5</v>
      </c>
    </row>
    <row r="8" spans="1:1" x14ac:dyDescent="0.35">
      <c r="A8" s="3"/>
    </row>
    <row r="9" spans="1:1" x14ac:dyDescent="0.35">
      <c r="A9" s="4" t="s">
        <v>6</v>
      </c>
    </row>
    <row r="10" spans="1:1" x14ac:dyDescent="0.35">
      <c r="A10" s="3" t="s">
        <v>7</v>
      </c>
    </row>
    <row r="11" spans="1:1" x14ac:dyDescent="0.35">
      <c r="A11" s="3" t="s">
        <v>8</v>
      </c>
    </row>
    <row r="12" spans="1:1" x14ac:dyDescent="0.35">
      <c r="A12" s="3" t="s">
        <v>9</v>
      </c>
    </row>
    <row r="13" spans="1:1" x14ac:dyDescent="0.35">
      <c r="A13" s="3" t="s">
        <v>10</v>
      </c>
    </row>
    <row r="14" spans="1:1" x14ac:dyDescent="0.35">
      <c r="A14" s="3" t="s">
        <v>11</v>
      </c>
    </row>
    <row r="15" spans="1:1" x14ac:dyDescent="0.35">
      <c r="A15" s="3" t="s">
        <v>12</v>
      </c>
    </row>
    <row r="16" spans="1:1" x14ac:dyDescent="0.35">
      <c r="A16" s="3" t="s">
        <v>13</v>
      </c>
    </row>
    <row r="17" spans="1:8" x14ac:dyDescent="0.35">
      <c r="A17" s="3" t="s">
        <v>14</v>
      </c>
    </row>
    <row r="18" spans="1:8" x14ac:dyDescent="0.35">
      <c r="A18" s="3" t="s">
        <v>15</v>
      </c>
    </row>
    <row r="19" spans="1:8" x14ac:dyDescent="0.35">
      <c r="A19" s="3"/>
    </row>
    <row r="20" spans="1:8" x14ac:dyDescent="0.35">
      <c r="A20" s="4" t="s">
        <v>16</v>
      </c>
    </row>
    <row r="21" spans="1:8" x14ac:dyDescent="0.35">
      <c r="A21" s="3" t="s">
        <v>17</v>
      </c>
    </row>
    <row r="22" spans="1:8" x14ac:dyDescent="0.35">
      <c r="A22" s="3" t="s">
        <v>18</v>
      </c>
    </row>
    <row r="23" spans="1:8" x14ac:dyDescent="0.35">
      <c r="A23" s="3" t="s">
        <v>19</v>
      </c>
    </row>
    <row r="24" spans="1:8" x14ac:dyDescent="0.35">
      <c r="A24" s="3" t="s">
        <v>20</v>
      </c>
    </row>
    <row r="25" spans="1:8" x14ac:dyDescent="0.35">
      <c r="A25" s="3" t="s">
        <v>21</v>
      </c>
      <c r="B25" s="5" t="s">
        <v>22</v>
      </c>
      <c r="C25" s="5" t="s">
        <v>23</v>
      </c>
      <c r="D25" s="5" t="s">
        <v>24</v>
      </c>
      <c r="E25" s="5" t="s">
        <v>25</v>
      </c>
      <c r="F25" s="5" t="s">
        <v>26</v>
      </c>
      <c r="G25" s="5" t="s">
        <v>27</v>
      </c>
      <c r="H25" s="5" t="s">
        <v>28</v>
      </c>
    </row>
    <row r="26" spans="1:8" x14ac:dyDescent="0.35">
      <c r="A26" s="3"/>
      <c r="B26" s="6" t="s">
        <v>29</v>
      </c>
      <c r="C26" s="6" t="s">
        <v>30</v>
      </c>
      <c r="D26" s="7" t="s">
        <v>31</v>
      </c>
      <c r="E26" s="7" t="s">
        <v>32</v>
      </c>
      <c r="F26" s="7" t="s">
        <v>33</v>
      </c>
      <c r="G26" s="6" t="s">
        <v>34</v>
      </c>
      <c r="H26" s="7" t="s">
        <v>35</v>
      </c>
    </row>
    <row r="27" spans="1:8" x14ac:dyDescent="0.35">
      <c r="A27" s="4" t="s">
        <v>36</v>
      </c>
    </row>
    <row r="28" spans="1:8" x14ac:dyDescent="0.35">
      <c r="A28" s="3"/>
    </row>
    <row r="29" spans="1:8" x14ac:dyDescent="0.35">
      <c r="A29" s="3"/>
    </row>
    <row r="30" spans="1:8" x14ac:dyDescent="0.35">
      <c r="A30" s="3"/>
    </row>
    <row r="31" spans="1:8" x14ac:dyDescent="0.35">
      <c r="A31" s="4" t="s">
        <v>37</v>
      </c>
    </row>
    <row r="32" spans="1:8" x14ac:dyDescent="0.35">
      <c r="A32" s="3" t="s">
        <v>38</v>
      </c>
    </row>
    <row r="33" spans="1:1" x14ac:dyDescent="0.35">
      <c r="A33" s="3" t="s">
        <v>39</v>
      </c>
    </row>
    <row r="34" spans="1:1" x14ac:dyDescent="0.35">
      <c r="A34" s="3"/>
    </row>
    <row r="35" spans="1:1" x14ac:dyDescent="0.35">
      <c r="A35" s="4" t="s">
        <v>40</v>
      </c>
    </row>
    <row r="36" spans="1:1" x14ac:dyDescent="0.35">
      <c r="A36" s="3" t="s">
        <v>41</v>
      </c>
    </row>
    <row r="37" spans="1:1" x14ac:dyDescent="0.35">
      <c r="A37" s="3" t="s">
        <v>42</v>
      </c>
    </row>
    <row r="38" spans="1:1" x14ac:dyDescent="0.35">
      <c r="A38" s="3"/>
    </row>
    <row r="39" spans="1:1" x14ac:dyDescent="0.35">
      <c r="A39" s="4" t="s">
        <v>43</v>
      </c>
    </row>
    <row r="40" spans="1:1" x14ac:dyDescent="0.35">
      <c r="A40" s="3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2"/>
  <sheetViews>
    <sheetView zoomScale="9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10" customWidth="1"/>
    <col min="3" max="3" width="15" customWidth="1"/>
    <col min="4" max="4" width="30" customWidth="1"/>
    <col min="5" max="6" width="16" customWidth="1"/>
    <col min="7" max="7" width="20" customWidth="1"/>
    <col min="8" max="8" width="16" customWidth="1"/>
    <col min="9" max="9" width="11" customWidth="1"/>
    <col min="10" max="10" width="16" customWidth="1"/>
    <col min="11" max="11" width="13" customWidth="1"/>
    <col min="12" max="13" width="15" customWidth="1"/>
    <col min="14" max="14" width="11" customWidth="1"/>
    <col min="15" max="15" width="8" customWidth="1"/>
    <col min="16" max="16" width="12" customWidth="1"/>
    <col min="17" max="17" width="20" customWidth="1"/>
    <col min="18" max="18" width="16" customWidth="1"/>
    <col min="19" max="19" width="20" customWidth="1"/>
    <col min="20" max="20" width="32" customWidth="1"/>
  </cols>
  <sheetData>
    <row r="1" spans="1:20" ht="18" x14ac:dyDescent="0.4">
      <c r="A1" s="1" t="s">
        <v>45</v>
      </c>
    </row>
    <row r="2" spans="1:20" x14ac:dyDescent="0.35">
      <c r="A2" s="2" t="s">
        <v>46</v>
      </c>
    </row>
    <row r="3" spans="1:20" ht="26" x14ac:dyDescent="0.35">
      <c r="A3" s="8" t="s">
        <v>22</v>
      </c>
      <c r="B3" s="8" t="s">
        <v>47</v>
      </c>
      <c r="C3" s="8" t="s">
        <v>48</v>
      </c>
      <c r="D3" s="8" t="s">
        <v>23</v>
      </c>
      <c r="E3" s="8" t="s">
        <v>49</v>
      </c>
      <c r="F3" s="8" t="s">
        <v>50</v>
      </c>
      <c r="G3" s="8" t="s">
        <v>51</v>
      </c>
      <c r="H3" s="8" t="s">
        <v>52</v>
      </c>
      <c r="I3" s="8" t="s">
        <v>53</v>
      </c>
      <c r="J3" s="8" t="s">
        <v>54</v>
      </c>
      <c r="K3" s="8" t="s">
        <v>55</v>
      </c>
      <c r="L3" s="8" t="s">
        <v>56</v>
      </c>
      <c r="M3" s="9" t="s">
        <v>26</v>
      </c>
      <c r="N3" s="9" t="s">
        <v>57</v>
      </c>
      <c r="O3" s="9" t="s">
        <v>24</v>
      </c>
      <c r="P3" s="9" t="s">
        <v>25</v>
      </c>
      <c r="Q3" s="9" t="s">
        <v>27</v>
      </c>
      <c r="R3" s="8" t="s">
        <v>58</v>
      </c>
      <c r="S3" s="8" t="s">
        <v>59</v>
      </c>
      <c r="T3" s="9" t="s">
        <v>28</v>
      </c>
    </row>
    <row r="4" spans="1:20" ht="46" x14ac:dyDescent="0.35">
      <c r="A4" s="10" t="s">
        <v>29</v>
      </c>
      <c r="B4" s="11" t="s">
        <v>60</v>
      </c>
      <c r="C4" s="11" t="s">
        <v>61</v>
      </c>
      <c r="D4" s="11" t="s">
        <v>62</v>
      </c>
      <c r="E4" s="11" t="s">
        <v>63</v>
      </c>
      <c r="F4" s="11" t="s">
        <v>64</v>
      </c>
      <c r="G4" s="11" t="s">
        <v>65</v>
      </c>
      <c r="H4" s="11" t="s">
        <v>66</v>
      </c>
      <c r="I4" s="10" t="s">
        <v>67</v>
      </c>
      <c r="J4" s="11" t="s">
        <v>68</v>
      </c>
      <c r="K4" s="11" t="s">
        <v>69</v>
      </c>
      <c r="L4" s="11" t="s">
        <v>70</v>
      </c>
      <c r="M4" s="11" t="s">
        <v>71</v>
      </c>
      <c r="N4" s="10" t="s">
        <v>72</v>
      </c>
      <c r="O4" s="10" t="s">
        <v>31</v>
      </c>
      <c r="P4" s="10" t="s">
        <v>73</v>
      </c>
      <c r="Q4" s="11" t="s">
        <v>74</v>
      </c>
      <c r="R4" s="11" t="s">
        <v>75</v>
      </c>
      <c r="S4" s="12" t="s">
        <v>76</v>
      </c>
      <c r="T4" s="11" t="s">
        <v>77</v>
      </c>
    </row>
    <row r="5" spans="1:20" ht="23" x14ac:dyDescent="0.35">
      <c r="A5" s="10" t="s">
        <v>78</v>
      </c>
      <c r="B5" s="11" t="s">
        <v>60</v>
      </c>
      <c r="C5" s="11" t="s">
        <v>61</v>
      </c>
      <c r="D5" s="11" t="s">
        <v>79</v>
      </c>
      <c r="E5" s="11" t="s">
        <v>80</v>
      </c>
      <c r="F5" s="11" t="s">
        <v>64</v>
      </c>
      <c r="G5" s="11" t="s">
        <v>81</v>
      </c>
      <c r="H5" s="11" t="s">
        <v>66</v>
      </c>
      <c r="I5" s="10" t="s">
        <v>67</v>
      </c>
      <c r="J5" s="11" t="s">
        <v>82</v>
      </c>
      <c r="K5" s="11" t="s">
        <v>69</v>
      </c>
      <c r="L5" s="11" t="s">
        <v>83</v>
      </c>
      <c r="M5" s="11" t="s">
        <v>84</v>
      </c>
      <c r="N5" s="10" t="s">
        <v>72</v>
      </c>
      <c r="O5" s="10" t="s">
        <v>85</v>
      </c>
      <c r="P5" s="10" t="s">
        <v>73</v>
      </c>
      <c r="Q5" s="11" t="s">
        <v>86</v>
      </c>
      <c r="R5" s="11" t="s">
        <v>75</v>
      </c>
      <c r="S5" s="12" t="s">
        <v>87</v>
      </c>
      <c r="T5" s="11" t="s">
        <v>88</v>
      </c>
    </row>
    <row r="6" spans="1:20" x14ac:dyDescent="0.35">
      <c r="A6" s="10" t="s">
        <v>89</v>
      </c>
      <c r="B6" s="11" t="s">
        <v>60</v>
      </c>
      <c r="C6" s="11" t="s">
        <v>61</v>
      </c>
      <c r="D6" s="11" t="s">
        <v>90</v>
      </c>
      <c r="E6" s="11" t="s">
        <v>91</v>
      </c>
      <c r="F6" s="11" t="s">
        <v>92</v>
      </c>
      <c r="G6" s="11" t="s">
        <v>93</v>
      </c>
      <c r="H6" s="11" t="s">
        <v>94</v>
      </c>
      <c r="I6" s="10" t="s">
        <v>95</v>
      </c>
      <c r="J6" s="11" t="s">
        <v>96</v>
      </c>
      <c r="K6" s="11" t="s">
        <v>97</v>
      </c>
      <c r="L6" s="11" t="s">
        <v>83</v>
      </c>
      <c r="M6" s="11" t="s">
        <v>98</v>
      </c>
      <c r="N6" s="10" t="s">
        <v>95</v>
      </c>
      <c r="O6" s="10" t="s">
        <v>99</v>
      </c>
      <c r="P6" s="10" t="s">
        <v>73</v>
      </c>
      <c r="Q6" s="11" t="s">
        <v>100</v>
      </c>
      <c r="R6" s="11" t="s">
        <v>97</v>
      </c>
      <c r="S6" s="12" t="s">
        <v>101</v>
      </c>
      <c r="T6" s="11" t="s">
        <v>102</v>
      </c>
    </row>
    <row r="7" spans="1:20" ht="23" x14ac:dyDescent="0.35">
      <c r="A7" s="10" t="s">
        <v>103</v>
      </c>
      <c r="B7" s="11" t="s">
        <v>60</v>
      </c>
      <c r="C7" s="11" t="s">
        <v>61</v>
      </c>
      <c r="D7" s="11" t="s">
        <v>104</v>
      </c>
      <c r="E7" s="11" t="s">
        <v>105</v>
      </c>
      <c r="F7" s="11" t="s">
        <v>106</v>
      </c>
      <c r="G7" s="11" t="s">
        <v>107</v>
      </c>
      <c r="H7" s="11" t="s">
        <v>108</v>
      </c>
      <c r="I7" s="10" t="s">
        <v>109</v>
      </c>
      <c r="J7" s="11" t="s">
        <v>110</v>
      </c>
      <c r="K7" s="11" t="s">
        <v>69</v>
      </c>
      <c r="L7" s="11" t="s">
        <v>111</v>
      </c>
      <c r="M7" s="11" t="s">
        <v>84</v>
      </c>
      <c r="N7" s="10" t="s">
        <v>112</v>
      </c>
      <c r="O7" s="10" t="s">
        <v>99</v>
      </c>
      <c r="P7" s="10" t="s">
        <v>73</v>
      </c>
      <c r="Q7" s="11" t="s">
        <v>100</v>
      </c>
      <c r="R7" s="11" t="s">
        <v>75</v>
      </c>
      <c r="S7" s="12" t="s">
        <v>113</v>
      </c>
      <c r="T7" s="11" t="s">
        <v>114</v>
      </c>
    </row>
    <row r="8" spans="1:20" ht="23" x14ac:dyDescent="0.35">
      <c r="A8" s="10" t="s">
        <v>115</v>
      </c>
      <c r="B8" s="11" t="s">
        <v>60</v>
      </c>
      <c r="C8" s="11" t="s">
        <v>116</v>
      </c>
      <c r="D8" s="11" t="s">
        <v>117</v>
      </c>
      <c r="E8" s="11" t="s">
        <v>118</v>
      </c>
      <c r="F8" s="11" t="s">
        <v>119</v>
      </c>
      <c r="G8" s="11" t="s">
        <v>120</v>
      </c>
      <c r="H8" s="11" t="s">
        <v>121</v>
      </c>
      <c r="I8" s="10" t="s">
        <v>122</v>
      </c>
      <c r="J8" s="11" t="s">
        <v>123</v>
      </c>
      <c r="K8" s="11" t="s">
        <v>97</v>
      </c>
      <c r="L8" s="11" t="s">
        <v>124</v>
      </c>
      <c r="M8" s="11" t="s">
        <v>84</v>
      </c>
      <c r="N8" s="10" t="s">
        <v>72</v>
      </c>
      <c r="O8" s="10" t="s">
        <v>31</v>
      </c>
      <c r="P8" s="10" t="s">
        <v>73</v>
      </c>
      <c r="Q8" s="11" t="s">
        <v>125</v>
      </c>
      <c r="R8" s="11" t="s">
        <v>126</v>
      </c>
      <c r="S8" s="12" t="s">
        <v>127</v>
      </c>
      <c r="T8" s="11" t="s">
        <v>128</v>
      </c>
    </row>
    <row r="9" spans="1:20" ht="23" x14ac:dyDescent="0.35">
      <c r="A9" s="10" t="s">
        <v>129</v>
      </c>
      <c r="B9" s="11" t="s">
        <v>60</v>
      </c>
      <c r="C9" s="11" t="s">
        <v>61</v>
      </c>
      <c r="D9" s="11" t="s">
        <v>130</v>
      </c>
      <c r="E9" s="11" t="s">
        <v>131</v>
      </c>
      <c r="F9" s="11" t="s">
        <v>64</v>
      </c>
      <c r="G9" s="11" t="s">
        <v>132</v>
      </c>
      <c r="H9" s="11" t="s">
        <v>133</v>
      </c>
      <c r="I9" s="10" t="s">
        <v>112</v>
      </c>
      <c r="J9" s="11" t="s">
        <v>134</v>
      </c>
      <c r="K9" s="11" t="s">
        <v>97</v>
      </c>
      <c r="L9" s="11" t="s">
        <v>135</v>
      </c>
      <c r="M9" s="11" t="s">
        <v>136</v>
      </c>
      <c r="N9" s="10" t="s">
        <v>112</v>
      </c>
      <c r="O9" s="10" t="s">
        <v>85</v>
      </c>
      <c r="P9" s="10" t="s">
        <v>73</v>
      </c>
      <c r="Q9" s="11" t="s">
        <v>137</v>
      </c>
      <c r="R9" s="11" t="s">
        <v>138</v>
      </c>
      <c r="S9" s="12" t="s">
        <v>139</v>
      </c>
      <c r="T9" s="11" t="s">
        <v>140</v>
      </c>
    </row>
    <row r="10" spans="1:20" ht="34.5" x14ac:dyDescent="0.35">
      <c r="A10" s="10" t="s">
        <v>141</v>
      </c>
      <c r="B10" s="11" t="s">
        <v>60</v>
      </c>
      <c r="C10" s="11" t="s">
        <v>61</v>
      </c>
      <c r="D10" s="11" t="s">
        <v>142</v>
      </c>
      <c r="E10" s="11" t="s">
        <v>143</v>
      </c>
      <c r="F10" s="11" t="s">
        <v>144</v>
      </c>
      <c r="G10" s="11" t="s">
        <v>145</v>
      </c>
      <c r="H10" s="11" t="s">
        <v>146</v>
      </c>
      <c r="I10" s="10" t="s">
        <v>147</v>
      </c>
      <c r="J10" s="11" t="s">
        <v>148</v>
      </c>
      <c r="K10" s="11" t="s">
        <v>97</v>
      </c>
      <c r="L10" s="11" t="s">
        <v>149</v>
      </c>
      <c r="M10" s="11" t="s">
        <v>150</v>
      </c>
      <c r="N10" s="10" t="s">
        <v>95</v>
      </c>
      <c r="O10" s="10" t="s">
        <v>31</v>
      </c>
      <c r="P10" s="10" t="s">
        <v>73</v>
      </c>
      <c r="Q10" s="11" t="s">
        <v>151</v>
      </c>
      <c r="R10" s="11" t="s">
        <v>138</v>
      </c>
      <c r="S10" s="12" t="s">
        <v>152</v>
      </c>
      <c r="T10" s="11" t="s">
        <v>153</v>
      </c>
    </row>
    <row r="11" spans="1:20" ht="23" x14ac:dyDescent="0.35">
      <c r="A11" s="10" t="s">
        <v>154</v>
      </c>
      <c r="B11" s="11" t="s">
        <v>60</v>
      </c>
      <c r="C11" s="11" t="s">
        <v>61</v>
      </c>
      <c r="D11" s="11" t="s">
        <v>155</v>
      </c>
      <c r="E11" s="11" t="s">
        <v>143</v>
      </c>
      <c r="F11" s="11" t="s">
        <v>156</v>
      </c>
      <c r="G11" s="11" t="s">
        <v>107</v>
      </c>
      <c r="H11" s="11" t="s">
        <v>108</v>
      </c>
      <c r="I11" s="10" t="s">
        <v>95</v>
      </c>
      <c r="J11" s="11" t="s">
        <v>157</v>
      </c>
      <c r="K11" s="11" t="s">
        <v>97</v>
      </c>
      <c r="L11" s="11" t="s">
        <v>158</v>
      </c>
      <c r="M11" s="11" t="s">
        <v>98</v>
      </c>
      <c r="N11" s="10" t="s">
        <v>95</v>
      </c>
      <c r="O11" s="10" t="s">
        <v>99</v>
      </c>
      <c r="P11" s="10" t="s">
        <v>73</v>
      </c>
      <c r="Q11" s="11" t="s">
        <v>100</v>
      </c>
      <c r="R11" s="11" t="s">
        <v>138</v>
      </c>
      <c r="S11" s="12" t="s">
        <v>159</v>
      </c>
      <c r="T11" s="11" t="s">
        <v>160</v>
      </c>
    </row>
    <row r="12" spans="1:20" ht="23" x14ac:dyDescent="0.35">
      <c r="A12" s="10" t="s">
        <v>161</v>
      </c>
      <c r="B12" s="11" t="s">
        <v>60</v>
      </c>
      <c r="C12" s="11" t="s">
        <v>162</v>
      </c>
      <c r="D12" s="11" t="s">
        <v>163</v>
      </c>
      <c r="E12" s="11" t="s">
        <v>164</v>
      </c>
      <c r="F12" s="11" t="s">
        <v>165</v>
      </c>
      <c r="G12" s="11" t="s">
        <v>166</v>
      </c>
      <c r="H12" s="11" t="s">
        <v>167</v>
      </c>
      <c r="I12" s="10" t="s">
        <v>95</v>
      </c>
      <c r="J12" s="11" t="s">
        <v>168</v>
      </c>
      <c r="K12" s="11" t="s">
        <v>97</v>
      </c>
      <c r="L12" s="11" t="s">
        <v>169</v>
      </c>
      <c r="M12" s="11" t="s">
        <v>170</v>
      </c>
      <c r="N12" s="10" t="s">
        <v>95</v>
      </c>
      <c r="O12" s="10" t="s">
        <v>31</v>
      </c>
      <c r="P12" s="10" t="s">
        <v>73</v>
      </c>
      <c r="Q12" s="11" t="s">
        <v>171</v>
      </c>
      <c r="R12" s="11" t="s">
        <v>138</v>
      </c>
      <c r="S12" s="12" t="s">
        <v>159</v>
      </c>
      <c r="T12" s="11" t="s">
        <v>172</v>
      </c>
    </row>
    <row r="13" spans="1:20" ht="23" x14ac:dyDescent="0.35">
      <c r="A13" s="10" t="s">
        <v>173</v>
      </c>
      <c r="B13" s="11" t="s">
        <v>60</v>
      </c>
      <c r="C13" s="11" t="s">
        <v>174</v>
      </c>
      <c r="D13" s="11" t="s">
        <v>175</v>
      </c>
      <c r="E13" s="11" t="s">
        <v>176</v>
      </c>
      <c r="F13" s="11" t="s">
        <v>177</v>
      </c>
      <c r="G13" s="11" t="s">
        <v>178</v>
      </c>
      <c r="H13" s="11" t="s">
        <v>179</v>
      </c>
      <c r="I13" s="10" t="s">
        <v>180</v>
      </c>
      <c r="J13" s="11" t="s">
        <v>181</v>
      </c>
      <c r="K13" s="11" t="s">
        <v>182</v>
      </c>
      <c r="L13" s="11" t="s">
        <v>183</v>
      </c>
      <c r="M13" s="11" t="s">
        <v>181</v>
      </c>
      <c r="N13" s="10" t="s">
        <v>181</v>
      </c>
      <c r="O13" s="10" t="s">
        <v>99</v>
      </c>
      <c r="P13" s="10" t="s">
        <v>73</v>
      </c>
      <c r="Q13" s="11" t="s">
        <v>181</v>
      </c>
      <c r="R13" s="11" t="s">
        <v>184</v>
      </c>
      <c r="S13" s="12" t="s">
        <v>185</v>
      </c>
      <c r="T13" s="11" t="s">
        <v>186</v>
      </c>
    </row>
    <row r="14" spans="1:20" ht="34.5" x14ac:dyDescent="0.35">
      <c r="A14" s="10" t="s">
        <v>187</v>
      </c>
      <c r="B14" s="11" t="s">
        <v>60</v>
      </c>
      <c r="C14" s="11" t="s">
        <v>61</v>
      </c>
      <c r="D14" s="11" t="s">
        <v>188</v>
      </c>
      <c r="E14" s="11" t="s">
        <v>189</v>
      </c>
      <c r="F14" s="11" t="s">
        <v>190</v>
      </c>
      <c r="G14" s="11" t="s">
        <v>191</v>
      </c>
      <c r="H14" s="11" t="s">
        <v>108</v>
      </c>
      <c r="I14" s="10" t="s">
        <v>95</v>
      </c>
      <c r="J14" s="11" t="s">
        <v>192</v>
      </c>
      <c r="K14" s="11" t="s">
        <v>193</v>
      </c>
      <c r="L14" s="11" t="s">
        <v>181</v>
      </c>
      <c r="M14" s="11" t="s">
        <v>181</v>
      </c>
      <c r="N14" s="10" t="s">
        <v>181</v>
      </c>
      <c r="O14" s="10" t="s">
        <v>99</v>
      </c>
      <c r="P14" s="10" t="s">
        <v>73</v>
      </c>
      <c r="Q14" s="11" t="s">
        <v>194</v>
      </c>
      <c r="R14" s="11" t="s">
        <v>195</v>
      </c>
      <c r="S14" s="12" t="s">
        <v>196</v>
      </c>
      <c r="T14" s="11" t="s">
        <v>197</v>
      </c>
    </row>
    <row r="15" spans="1:20" ht="23" x14ac:dyDescent="0.35">
      <c r="A15" s="10" t="s">
        <v>198</v>
      </c>
      <c r="B15" s="11" t="s">
        <v>60</v>
      </c>
      <c r="C15" s="11" t="s">
        <v>61</v>
      </c>
      <c r="D15" s="11" t="s">
        <v>199</v>
      </c>
      <c r="E15" s="11" t="s">
        <v>200</v>
      </c>
      <c r="F15" s="11" t="s">
        <v>201</v>
      </c>
      <c r="G15" s="11" t="s">
        <v>202</v>
      </c>
      <c r="H15" s="11" t="s">
        <v>108</v>
      </c>
      <c r="I15" s="10" t="s">
        <v>203</v>
      </c>
      <c r="J15" s="11" t="s">
        <v>204</v>
      </c>
      <c r="K15" s="11" t="s">
        <v>97</v>
      </c>
      <c r="L15" s="11" t="s">
        <v>205</v>
      </c>
      <c r="M15" s="11" t="s">
        <v>84</v>
      </c>
      <c r="N15" s="10" t="s">
        <v>72</v>
      </c>
      <c r="O15" s="10" t="s">
        <v>31</v>
      </c>
      <c r="P15" s="10" t="s">
        <v>73</v>
      </c>
      <c r="Q15" s="11" t="s">
        <v>34</v>
      </c>
      <c r="R15" s="11" t="s">
        <v>126</v>
      </c>
      <c r="S15" s="12" t="s">
        <v>206</v>
      </c>
      <c r="T15" s="11" t="s">
        <v>207</v>
      </c>
    </row>
    <row r="16" spans="1:20" ht="23" x14ac:dyDescent="0.35">
      <c r="A16" s="10" t="s">
        <v>208</v>
      </c>
      <c r="B16" s="11" t="s">
        <v>60</v>
      </c>
      <c r="C16" s="11" t="s">
        <v>61</v>
      </c>
      <c r="D16" s="11" t="s">
        <v>209</v>
      </c>
      <c r="E16" s="11" t="s">
        <v>210</v>
      </c>
      <c r="F16" s="11" t="s">
        <v>211</v>
      </c>
      <c r="G16" s="11" t="s">
        <v>212</v>
      </c>
      <c r="H16" s="11" t="s">
        <v>108</v>
      </c>
      <c r="I16" s="10" t="s">
        <v>213</v>
      </c>
      <c r="J16" s="11" t="s">
        <v>214</v>
      </c>
      <c r="K16" s="11" t="s">
        <v>215</v>
      </c>
      <c r="L16" s="11" t="s">
        <v>216</v>
      </c>
      <c r="M16" s="11" t="s">
        <v>217</v>
      </c>
      <c r="N16" s="10" t="s">
        <v>218</v>
      </c>
      <c r="O16" s="10" t="s">
        <v>31</v>
      </c>
      <c r="P16" s="10" t="s">
        <v>73</v>
      </c>
      <c r="Q16" s="11" t="s">
        <v>137</v>
      </c>
      <c r="R16" s="11" t="s">
        <v>219</v>
      </c>
      <c r="S16" s="12" t="s">
        <v>220</v>
      </c>
      <c r="T16" s="11" t="s">
        <v>221</v>
      </c>
    </row>
    <row r="17" spans="1:20" ht="34.5" x14ac:dyDescent="0.35">
      <c r="A17" s="10" t="s">
        <v>222</v>
      </c>
      <c r="B17" s="11" t="s">
        <v>60</v>
      </c>
      <c r="C17" s="11" t="s">
        <v>61</v>
      </c>
      <c r="D17" s="11" t="s">
        <v>223</v>
      </c>
      <c r="E17" s="11" t="s">
        <v>224</v>
      </c>
      <c r="F17" s="11" t="s">
        <v>211</v>
      </c>
      <c r="G17" s="11" t="s">
        <v>225</v>
      </c>
      <c r="H17" s="11" t="s">
        <v>226</v>
      </c>
      <c r="I17" s="10" t="s">
        <v>227</v>
      </c>
      <c r="J17" s="11" t="s">
        <v>228</v>
      </c>
      <c r="K17" s="11" t="s">
        <v>97</v>
      </c>
      <c r="L17" s="11" t="s">
        <v>229</v>
      </c>
      <c r="M17" s="11" t="s">
        <v>230</v>
      </c>
      <c r="N17" s="10" t="s">
        <v>72</v>
      </c>
      <c r="O17" s="10" t="s">
        <v>31</v>
      </c>
      <c r="P17" s="10" t="s">
        <v>73</v>
      </c>
      <c r="Q17" s="11" t="s">
        <v>231</v>
      </c>
      <c r="R17" s="11" t="s">
        <v>232</v>
      </c>
      <c r="S17" s="12" t="s">
        <v>233</v>
      </c>
      <c r="T17" s="11" t="s">
        <v>234</v>
      </c>
    </row>
    <row r="18" spans="1:20" x14ac:dyDescent="0.35">
      <c r="A18" s="10" t="s">
        <v>235</v>
      </c>
      <c r="B18" s="11" t="s">
        <v>60</v>
      </c>
      <c r="C18" s="11" t="s">
        <v>61</v>
      </c>
      <c r="D18" s="11" t="s">
        <v>236</v>
      </c>
      <c r="E18" s="11" t="s">
        <v>237</v>
      </c>
      <c r="F18" s="11" t="s">
        <v>211</v>
      </c>
      <c r="G18" s="11" t="s">
        <v>238</v>
      </c>
      <c r="H18" s="11" t="s">
        <v>108</v>
      </c>
      <c r="I18" s="10" t="s">
        <v>239</v>
      </c>
      <c r="J18" s="11" t="s">
        <v>240</v>
      </c>
      <c r="K18" s="11" t="s">
        <v>69</v>
      </c>
      <c r="L18" s="11" t="s">
        <v>111</v>
      </c>
      <c r="M18" s="11" t="s">
        <v>98</v>
      </c>
      <c r="N18" s="10" t="s">
        <v>181</v>
      </c>
      <c r="O18" s="10" t="s">
        <v>99</v>
      </c>
      <c r="P18" s="10" t="s">
        <v>73</v>
      </c>
      <c r="Q18" s="11" t="s">
        <v>181</v>
      </c>
      <c r="R18" s="11" t="s">
        <v>241</v>
      </c>
      <c r="S18" s="12" t="s">
        <v>242</v>
      </c>
      <c r="T18" s="11" t="s">
        <v>243</v>
      </c>
    </row>
    <row r="19" spans="1:20" x14ac:dyDescent="0.35">
      <c r="A19" s="10" t="s">
        <v>244</v>
      </c>
      <c r="B19" s="11" t="s">
        <v>60</v>
      </c>
      <c r="C19" s="11" t="s">
        <v>61</v>
      </c>
      <c r="D19" s="11" t="s">
        <v>245</v>
      </c>
      <c r="E19" s="11" t="s">
        <v>246</v>
      </c>
      <c r="F19" s="11" t="s">
        <v>247</v>
      </c>
      <c r="G19" s="11" t="s">
        <v>248</v>
      </c>
      <c r="H19" s="11" t="s">
        <v>108</v>
      </c>
      <c r="I19" s="10" t="s">
        <v>249</v>
      </c>
      <c r="J19" s="11" t="s">
        <v>250</v>
      </c>
      <c r="K19" s="11" t="s">
        <v>97</v>
      </c>
      <c r="L19" s="11" t="s">
        <v>249</v>
      </c>
      <c r="M19" s="11" t="s">
        <v>98</v>
      </c>
      <c r="N19" s="10" t="s">
        <v>181</v>
      </c>
      <c r="O19" s="10" t="s">
        <v>99</v>
      </c>
      <c r="P19" s="10" t="s">
        <v>73</v>
      </c>
      <c r="Q19" s="11" t="s">
        <v>181</v>
      </c>
      <c r="R19" s="11" t="s">
        <v>97</v>
      </c>
      <c r="S19" s="12" t="s">
        <v>251</v>
      </c>
      <c r="T19" s="11" t="s">
        <v>252</v>
      </c>
    </row>
    <row r="20" spans="1:20" ht="23" x14ac:dyDescent="0.35">
      <c r="A20" s="10" t="s">
        <v>253</v>
      </c>
      <c r="B20" s="11" t="s">
        <v>60</v>
      </c>
      <c r="C20" s="11" t="s">
        <v>61</v>
      </c>
      <c r="D20" s="11" t="s">
        <v>254</v>
      </c>
      <c r="E20" s="11" t="s">
        <v>255</v>
      </c>
      <c r="F20" s="11" t="s">
        <v>256</v>
      </c>
      <c r="G20" s="11" t="s">
        <v>257</v>
      </c>
      <c r="H20" s="11" t="s">
        <v>258</v>
      </c>
      <c r="I20" s="10" t="s">
        <v>213</v>
      </c>
      <c r="J20" s="11" t="s">
        <v>259</v>
      </c>
      <c r="K20" s="11" t="s">
        <v>215</v>
      </c>
      <c r="L20" s="11" t="s">
        <v>216</v>
      </c>
      <c r="M20" s="11" t="s">
        <v>217</v>
      </c>
      <c r="N20" s="10" t="s">
        <v>218</v>
      </c>
      <c r="O20" s="10" t="s">
        <v>31</v>
      </c>
      <c r="P20" s="10" t="s">
        <v>73</v>
      </c>
      <c r="Q20" s="11" t="s">
        <v>137</v>
      </c>
      <c r="R20" s="11" t="s">
        <v>260</v>
      </c>
      <c r="S20" s="12" t="s">
        <v>220</v>
      </c>
      <c r="T20" s="11" t="s">
        <v>261</v>
      </c>
    </row>
    <row r="21" spans="1:20" ht="23" x14ac:dyDescent="0.35">
      <c r="A21" s="10" t="s">
        <v>262</v>
      </c>
      <c r="B21" s="11" t="s">
        <v>60</v>
      </c>
      <c r="C21" s="11" t="s">
        <v>61</v>
      </c>
      <c r="D21" s="11" t="s">
        <v>263</v>
      </c>
      <c r="E21" s="11" t="s">
        <v>255</v>
      </c>
      <c r="F21" s="11" t="s">
        <v>256</v>
      </c>
      <c r="G21" s="11" t="s">
        <v>264</v>
      </c>
      <c r="H21" s="11" t="s">
        <v>265</v>
      </c>
      <c r="I21" s="10" t="s">
        <v>213</v>
      </c>
      <c r="J21" s="11" t="s">
        <v>266</v>
      </c>
      <c r="K21" s="11" t="s">
        <v>215</v>
      </c>
      <c r="L21" s="11" t="s">
        <v>216</v>
      </c>
      <c r="M21" s="11" t="s">
        <v>217</v>
      </c>
      <c r="N21" s="10" t="s">
        <v>218</v>
      </c>
      <c r="O21" s="10" t="s">
        <v>31</v>
      </c>
      <c r="P21" s="10" t="s">
        <v>73</v>
      </c>
      <c r="Q21" s="11" t="s">
        <v>137</v>
      </c>
      <c r="R21" s="11" t="s">
        <v>260</v>
      </c>
      <c r="S21" s="12" t="s">
        <v>220</v>
      </c>
      <c r="T21" s="11" t="s">
        <v>267</v>
      </c>
    </row>
    <row r="22" spans="1:20" ht="34.5" x14ac:dyDescent="0.35">
      <c r="A22" s="10" t="s">
        <v>268</v>
      </c>
      <c r="B22" s="11" t="s">
        <v>60</v>
      </c>
      <c r="C22" s="11" t="s">
        <v>61</v>
      </c>
      <c r="D22" s="11" t="s">
        <v>269</v>
      </c>
      <c r="E22" s="11" t="s">
        <v>270</v>
      </c>
      <c r="F22" s="11" t="s">
        <v>165</v>
      </c>
      <c r="G22" s="11" t="s">
        <v>271</v>
      </c>
      <c r="H22" s="11" t="s">
        <v>272</v>
      </c>
      <c r="I22" s="10" t="s">
        <v>213</v>
      </c>
      <c r="J22" s="11" t="s">
        <v>273</v>
      </c>
      <c r="K22" s="11" t="s">
        <v>215</v>
      </c>
      <c r="L22" s="11" t="s">
        <v>216</v>
      </c>
      <c r="M22" s="11" t="s">
        <v>217</v>
      </c>
      <c r="N22" s="10" t="s">
        <v>218</v>
      </c>
      <c r="O22" s="10" t="s">
        <v>31</v>
      </c>
      <c r="P22" s="10" t="s">
        <v>73</v>
      </c>
      <c r="Q22" s="11" t="s">
        <v>274</v>
      </c>
      <c r="R22" s="11" t="s">
        <v>260</v>
      </c>
      <c r="S22" s="12" t="s">
        <v>220</v>
      </c>
      <c r="T22" s="11" t="s">
        <v>275</v>
      </c>
    </row>
    <row r="23" spans="1:20" ht="34.5" x14ac:dyDescent="0.35">
      <c r="A23" s="10" t="s">
        <v>276</v>
      </c>
      <c r="B23" s="11" t="s">
        <v>60</v>
      </c>
      <c r="C23" s="11" t="s">
        <v>61</v>
      </c>
      <c r="D23" s="11" t="s">
        <v>277</v>
      </c>
      <c r="E23" s="11" t="s">
        <v>278</v>
      </c>
      <c r="F23" s="11" t="s">
        <v>279</v>
      </c>
      <c r="G23" s="11" t="s">
        <v>280</v>
      </c>
      <c r="H23" s="11" t="s">
        <v>281</v>
      </c>
      <c r="I23" s="10" t="s">
        <v>213</v>
      </c>
      <c r="J23" s="11" t="s">
        <v>282</v>
      </c>
      <c r="K23" s="11" t="s">
        <v>283</v>
      </c>
      <c r="L23" s="11" t="s">
        <v>284</v>
      </c>
      <c r="M23" s="11" t="s">
        <v>217</v>
      </c>
      <c r="N23" s="10" t="s">
        <v>218</v>
      </c>
      <c r="O23" s="10" t="s">
        <v>85</v>
      </c>
      <c r="P23" s="10" t="s">
        <v>73</v>
      </c>
      <c r="Q23" s="11" t="s">
        <v>285</v>
      </c>
      <c r="R23" s="11" t="s">
        <v>286</v>
      </c>
      <c r="S23" s="12" t="s">
        <v>287</v>
      </c>
      <c r="T23" s="11" t="s">
        <v>288</v>
      </c>
    </row>
    <row r="24" spans="1:20" ht="23" x14ac:dyDescent="0.35">
      <c r="A24" s="10" t="s">
        <v>289</v>
      </c>
      <c r="B24" s="11" t="s">
        <v>60</v>
      </c>
      <c r="C24" s="11" t="s">
        <v>61</v>
      </c>
      <c r="D24" s="11" t="s">
        <v>290</v>
      </c>
      <c r="E24" s="11" t="s">
        <v>291</v>
      </c>
      <c r="F24" s="11" t="s">
        <v>211</v>
      </c>
      <c r="G24" s="11" t="s">
        <v>292</v>
      </c>
      <c r="H24" s="11" t="s">
        <v>293</v>
      </c>
      <c r="I24" s="10" t="s">
        <v>213</v>
      </c>
      <c r="J24" s="11" t="s">
        <v>294</v>
      </c>
      <c r="K24" s="11" t="s">
        <v>97</v>
      </c>
      <c r="L24" s="11" t="s">
        <v>111</v>
      </c>
      <c r="M24" s="11" t="s">
        <v>217</v>
      </c>
      <c r="N24" s="10" t="s">
        <v>218</v>
      </c>
      <c r="O24" s="10" t="s">
        <v>99</v>
      </c>
      <c r="P24" s="10" t="s">
        <v>73</v>
      </c>
      <c r="Q24" s="11" t="s">
        <v>181</v>
      </c>
      <c r="R24" s="11" t="s">
        <v>295</v>
      </c>
      <c r="S24" s="12" t="s">
        <v>296</v>
      </c>
      <c r="T24" s="11" t="s">
        <v>297</v>
      </c>
    </row>
    <row r="25" spans="1:20" ht="23" x14ac:dyDescent="0.35">
      <c r="A25" s="10" t="s">
        <v>298</v>
      </c>
      <c r="B25" s="11" t="s">
        <v>60</v>
      </c>
      <c r="C25" s="11" t="s">
        <v>61</v>
      </c>
      <c r="D25" s="11" t="s">
        <v>299</v>
      </c>
      <c r="E25" s="11" t="s">
        <v>300</v>
      </c>
      <c r="F25" s="11" t="s">
        <v>165</v>
      </c>
      <c r="G25" s="11" t="s">
        <v>301</v>
      </c>
      <c r="H25" s="11" t="s">
        <v>302</v>
      </c>
      <c r="I25" s="10" t="s">
        <v>213</v>
      </c>
      <c r="J25" s="11" t="s">
        <v>303</v>
      </c>
      <c r="K25" s="11" t="s">
        <v>97</v>
      </c>
      <c r="L25" s="11" t="s">
        <v>111</v>
      </c>
      <c r="M25" s="11" t="s">
        <v>217</v>
      </c>
      <c r="N25" s="10" t="s">
        <v>218</v>
      </c>
      <c r="O25" s="10" t="s">
        <v>99</v>
      </c>
      <c r="P25" s="10" t="s">
        <v>73</v>
      </c>
      <c r="Q25" s="11" t="s">
        <v>181</v>
      </c>
      <c r="R25" s="11" t="s">
        <v>97</v>
      </c>
      <c r="S25" s="12" t="s">
        <v>296</v>
      </c>
      <c r="T25" s="11" t="s">
        <v>304</v>
      </c>
    </row>
    <row r="26" spans="1:20" x14ac:dyDescent="0.35">
      <c r="A26" s="10" t="s">
        <v>305</v>
      </c>
      <c r="B26" s="11" t="s">
        <v>60</v>
      </c>
      <c r="C26" s="11" t="s">
        <v>61</v>
      </c>
      <c r="D26" s="11" t="s">
        <v>306</v>
      </c>
      <c r="E26" s="11" t="s">
        <v>307</v>
      </c>
      <c r="F26" s="11" t="s">
        <v>211</v>
      </c>
      <c r="G26" s="11" t="s">
        <v>308</v>
      </c>
      <c r="H26" s="11" t="s">
        <v>309</v>
      </c>
      <c r="I26" s="10" t="s">
        <v>213</v>
      </c>
      <c r="J26" s="11" t="s">
        <v>310</v>
      </c>
      <c r="K26" s="11" t="s">
        <v>215</v>
      </c>
      <c r="L26" s="11" t="s">
        <v>111</v>
      </c>
      <c r="M26" s="11" t="s">
        <v>217</v>
      </c>
      <c r="N26" s="10" t="s">
        <v>218</v>
      </c>
      <c r="O26" s="10" t="s">
        <v>99</v>
      </c>
      <c r="P26" s="10" t="s">
        <v>73</v>
      </c>
      <c r="Q26" s="11" t="s">
        <v>181</v>
      </c>
      <c r="R26" s="11" t="s">
        <v>311</v>
      </c>
      <c r="S26" s="12" t="s">
        <v>220</v>
      </c>
      <c r="T26" s="11" t="s">
        <v>304</v>
      </c>
    </row>
    <row r="27" spans="1:20" ht="23" x14ac:dyDescent="0.35">
      <c r="A27" s="10" t="s">
        <v>312</v>
      </c>
      <c r="B27" s="11" t="s">
        <v>60</v>
      </c>
      <c r="C27" s="11" t="s">
        <v>61</v>
      </c>
      <c r="D27" s="11" t="s">
        <v>313</v>
      </c>
      <c r="E27" s="11" t="s">
        <v>314</v>
      </c>
      <c r="F27" s="11" t="s">
        <v>315</v>
      </c>
      <c r="G27" s="11" t="s">
        <v>316</v>
      </c>
      <c r="H27" s="11" t="s">
        <v>317</v>
      </c>
      <c r="I27" s="10" t="s">
        <v>213</v>
      </c>
      <c r="J27" s="11" t="s">
        <v>318</v>
      </c>
      <c r="K27" s="11" t="s">
        <v>319</v>
      </c>
      <c r="L27" s="11" t="s">
        <v>111</v>
      </c>
      <c r="M27" s="11" t="s">
        <v>217</v>
      </c>
      <c r="N27" s="10" t="s">
        <v>218</v>
      </c>
      <c r="O27" s="10" t="s">
        <v>99</v>
      </c>
      <c r="P27" s="10" t="s">
        <v>73</v>
      </c>
      <c r="Q27" s="11" t="s">
        <v>285</v>
      </c>
      <c r="R27" s="11" t="s">
        <v>320</v>
      </c>
      <c r="S27" s="12" t="s">
        <v>321</v>
      </c>
      <c r="T27" s="11" t="s">
        <v>322</v>
      </c>
    </row>
    <row r="28" spans="1:20" ht="23" x14ac:dyDescent="0.35">
      <c r="A28" s="10" t="s">
        <v>323</v>
      </c>
      <c r="B28" s="11" t="s">
        <v>60</v>
      </c>
      <c r="C28" s="11" t="s">
        <v>324</v>
      </c>
      <c r="D28" s="11" t="s">
        <v>325</v>
      </c>
      <c r="E28" s="11" t="s">
        <v>326</v>
      </c>
      <c r="F28" s="11" t="s">
        <v>247</v>
      </c>
      <c r="G28" s="11" t="s">
        <v>327</v>
      </c>
      <c r="H28" s="11" t="s">
        <v>328</v>
      </c>
      <c r="I28" s="10" t="s">
        <v>213</v>
      </c>
      <c r="J28" s="11" t="s">
        <v>329</v>
      </c>
      <c r="K28" s="11" t="s">
        <v>97</v>
      </c>
      <c r="L28" s="11" t="s">
        <v>330</v>
      </c>
      <c r="M28" s="11" t="s">
        <v>217</v>
      </c>
      <c r="N28" s="10" t="s">
        <v>218</v>
      </c>
      <c r="O28" s="10" t="s">
        <v>85</v>
      </c>
      <c r="P28" s="10" t="s">
        <v>73</v>
      </c>
      <c r="Q28" s="11" t="s">
        <v>331</v>
      </c>
      <c r="R28" s="11" t="s">
        <v>295</v>
      </c>
      <c r="S28" s="12" t="s">
        <v>332</v>
      </c>
      <c r="T28" s="11" t="s">
        <v>333</v>
      </c>
    </row>
    <row r="29" spans="1:20" ht="23" x14ac:dyDescent="0.35">
      <c r="A29" s="10" t="s">
        <v>334</v>
      </c>
      <c r="B29" s="11" t="s">
        <v>60</v>
      </c>
      <c r="C29" s="11" t="s">
        <v>116</v>
      </c>
      <c r="D29" s="11" t="s">
        <v>335</v>
      </c>
      <c r="E29" s="11" t="s">
        <v>336</v>
      </c>
      <c r="F29" s="11" t="s">
        <v>337</v>
      </c>
      <c r="G29" s="11" t="s">
        <v>338</v>
      </c>
      <c r="H29" s="11" t="s">
        <v>339</v>
      </c>
      <c r="I29" s="10" t="s">
        <v>340</v>
      </c>
      <c r="J29" s="11" t="s">
        <v>341</v>
      </c>
      <c r="K29" s="11" t="s">
        <v>342</v>
      </c>
      <c r="L29" s="11" t="s">
        <v>343</v>
      </c>
      <c r="M29" s="11" t="s">
        <v>344</v>
      </c>
      <c r="N29" s="10" t="s">
        <v>95</v>
      </c>
      <c r="O29" s="10" t="s">
        <v>85</v>
      </c>
      <c r="P29" s="10" t="s">
        <v>73</v>
      </c>
      <c r="Q29" s="11" t="s">
        <v>125</v>
      </c>
      <c r="R29" s="11" t="s">
        <v>345</v>
      </c>
      <c r="S29" s="12" t="s">
        <v>346</v>
      </c>
      <c r="T29" s="11" t="s">
        <v>347</v>
      </c>
    </row>
    <row r="30" spans="1:20" ht="34.5" x14ac:dyDescent="0.35">
      <c r="A30" s="10" t="s">
        <v>348</v>
      </c>
      <c r="B30" s="11" t="s">
        <v>60</v>
      </c>
      <c r="C30" s="11" t="s">
        <v>349</v>
      </c>
      <c r="D30" s="11" t="s">
        <v>350</v>
      </c>
      <c r="E30" s="11" t="s">
        <v>351</v>
      </c>
      <c r="F30" s="11" t="s">
        <v>352</v>
      </c>
      <c r="G30" s="11" t="s">
        <v>353</v>
      </c>
      <c r="H30" s="11" t="s">
        <v>354</v>
      </c>
      <c r="I30" s="10" t="s">
        <v>355</v>
      </c>
      <c r="J30" s="11" t="s">
        <v>356</v>
      </c>
      <c r="K30" s="11" t="s">
        <v>357</v>
      </c>
      <c r="L30" s="11" t="s">
        <v>358</v>
      </c>
      <c r="M30" s="11" t="s">
        <v>359</v>
      </c>
      <c r="N30" s="10" t="s">
        <v>95</v>
      </c>
      <c r="O30" s="10" t="s">
        <v>85</v>
      </c>
      <c r="P30" s="10" t="s">
        <v>73</v>
      </c>
      <c r="Q30" s="11" t="s">
        <v>360</v>
      </c>
      <c r="R30" s="11" t="s">
        <v>361</v>
      </c>
      <c r="S30" s="12" t="s">
        <v>362</v>
      </c>
      <c r="T30" s="11" t="s">
        <v>363</v>
      </c>
    </row>
    <row r="31" spans="1:20" ht="23" x14ac:dyDescent="0.35">
      <c r="A31" s="10" t="s">
        <v>364</v>
      </c>
      <c r="B31" s="11" t="s">
        <v>60</v>
      </c>
      <c r="C31" s="11" t="s">
        <v>365</v>
      </c>
      <c r="D31" s="11" t="s">
        <v>366</v>
      </c>
      <c r="E31" s="11" t="s">
        <v>367</v>
      </c>
      <c r="F31" s="11" t="s">
        <v>368</v>
      </c>
      <c r="G31" s="11" t="s">
        <v>369</v>
      </c>
      <c r="H31" s="11" t="s">
        <v>370</v>
      </c>
      <c r="I31" s="10" t="s">
        <v>371</v>
      </c>
      <c r="J31" s="11" t="s">
        <v>372</v>
      </c>
      <c r="K31" s="11" t="s">
        <v>97</v>
      </c>
      <c r="L31" s="11" t="s">
        <v>205</v>
      </c>
      <c r="M31" s="11" t="s">
        <v>84</v>
      </c>
      <c r="N31" s="10" t="s">
        <v>72</v>
      </c>
      <c r="O31" s="10" t="s">
        <v>31</v>
      </c>
      <c r="P31" s="10" t="s">
        <v>73</v>
      </c>
      <c r="Q31" s="11" t="s">
        <v>373</v>
      </c>
      <c r="R31" s="11" t="s">
        <v>374</v>
      </c>
      <c r="S31" s="12" t="s">
        <v>375</v>
      </c>
      <c r="T31" s="11" t="s">
        <v>376</v>
      </c>
    </row>
    <row r="32" spans="1:20" ht="23" x14ac:dyDescent="0.35">
      <c r="A32" s="10" t="s">
        <v>377</v>
      </c>
      <c r="B32" s="11" t="s">
        <v>60</v>
      </c>
      <c r="C32" s="11" t="s">
        <v>378</v>
      </c>
      <c r="D32" s="11" t="s">
        <v>379</v>
      </c>
      <c r="E32" s="11" t="s">
        <v>380</v>
      </c>
      <c r="F32" s="11" t="s">
        <v>352</v>
      </c>
      <c r="G32" s="11" t="s">
        <v>381</v>
      </c>
      <c r="H32" s="11" t="s">
        <v>382</v>
      </c>
      <c r="I32" s="10" t="s">
        <v>72</v>
      </c>
      <c r="J32" s="11" t="s">
        <v>383</v>
      </c>
      <c r="K32" s="11" t="s">
        <v>97</v>
      </c>
      <c r="L32" s="11" t="s">
        <v>384</v>
      </c>
      <c r="M32" s="11" t="s">
        <v>385</v>
      </c>
      <c r="N32" s="10" t="s">
        <v>72</v>
      </c>
      <c r="O32" s="10" t="s">
        <v>85</v>
      </c>
      <c r="P32" s="10" t="s">
        <v>73</v>
      </c>
      <c r="Q32" s="11" t="s">
        <v>386</v>
      </c>
      <c r="R32" s="11" t="s">
        <v>138</v>
      </c>
      <c r="S32" s="12" t="s">
        <v>159</v>
      </c>
      <c r="T32" s="11" t="s">
        <v>387</v>
      </c>
    </row>
    <row r="33" spans="1:20" ht="23" x14ac:dyDescent="0.35">
      <c r="A33" s="10" t="s">
        <v>388</v>
      </c>
      <c r="B33" s="11" t="s">
        <v>60</v>
      </c>
      <c r="C33" s="11" t="s">
        <v>389</v>
      </c>
      <c r="D33" s="11" t="s">
        <v>390</v>
      </c>
      <c r="E33" s="11" t="s">
        <v>391</v>
      </c>
      <c r="F33" s="11" t="s">
        <v>352</v>
      </c>
      <c r="G33" s="11" t="s">
        <v>392</v>
      </c>
      <c r="H33" s="11" t="s">
        <v>393</v>
      </c>
      <c r="I33" s="10" t="s">
        <v>112</v>
      </c>
      <c r="J33" s="11" t="s">
        <v>394</v>
      </c>
      <c r="K33" s="11" t="s">
        <v>97</v>
      </c>
      <c r="L33" s="11" t="s">
        <v>111</v>
      </c>
      <c r="M33" s="11" t="s">
        <v>217</v>
      </c>
      <c r="N33" s="10" t="s">
        <v>112</v>
      </c>
      <c r="O33" s="10" t="s">
        <v>85</v>
      </c>
      <c r="P33" s="10" t="s">
        <v>73</v>
      </c>
      <c r="Q33" s="11" t="s">
        <v>395</v>
      </c>
      <c r="R33" s="11" t="s">
        <v>97</v>
      </c>
      <c r="S33" s="12" t="s">
        <v>396</v>
      </c>
      <c r="T33" s="11" t="s">
        <v>397</v>
      </c>
    </row>
    <row r="34" spans="1:20" ht="34.5" x14ac:dyDescent="0.35">
      <c r="A34" s="10" t="s">
        <v>398</v>
      </c>
      <c r="B34" s="11" t="s">
        <v>60</v>
      </c>
      <c r="C34" s="11" t="s">
        <v>324</v>
      </c>
      <c r="D34" s="11" t="s">
        <v>399</v>
      </c>
      <c r="E34" s="11" t="s">
        <v>400</v>
      </c>
      <c r="F34" s="11" t="s">
        <v>352</v>
      </c>
      <c r="G34" s="11" t="s">
        <v>401</v>
      </c>
      <c r="H34" s="11" t="s">
        <v>402</v>
      </c>
      <c r="I34" s="10" t="s">
        <v>112</v>
      </c>
      <c r="J34" s="11" t="s">
        <v>403</v>
      </c>
      <c r="K34" s="11" t="s">
        <v>404</v>
      </c>
      <c r="L34" s="11" t="s">
        <v>405</v>
      </c>
      <c r="M34" s="11" t="s">
        <v>406</v>
      </c>
      <c r="N34" s="10" t="s">
        <v>112</v>
      </c>
      <c r="O34" s="10" t="s">
        <v>31</v>
      </c>
      <c r="P34" s="10" t="s">
        <v>73</v>
      </c>
      <c r="Q34" s="11" t="s">
        <v>407</v>
      </c>
      <c r="R34" s="11" t="s">
        <v>408</v>
      </c>
      <c r="S34" s="12" t="s">
        <v>409</v>
      </c>
      <c r="T34" s="11" t="s">
        <v>410</v>
      </c>
    </row>
    <row r="35" spans="1:20" ht="23" x14ac:dyDescent="0.35">
      <c r="A35" s="10" t="s">
        <v>411</v>
      </c>
      <c r="B35" s="11" t="s">
        <v>60</v>
      </c>
      <c r="C35" s="11" t="s">
        <v>324</v>
      </c>
      <c r="D35" s="11" t="s">
        <v>412</v>
      </c>
      <c r="E35" s="11" t="s">
        <v>413</v>
      </c>
      <c r="F35" s="11" t="s">
        <v>352</v>
      </c>
      <c r="G35" s="11" t="s">
        <v>414</v>
      </c>
      <c r="H35" s="11" t="s">
        <v>415</v>
      </c>
      <c r="I35" s="10" t="s">
        <v>112</v>
      </c>
      <c r="J35" s="11" t="s">
        <v>416</v>
      </c>
      <c r="K35" s="11" t="s">
        <v>417</v>
      </c>
      <c r="L35" s="11" t="s">
        <v>418</v>
      </c>
      <c r="M35" s="11" t="s">
        <v>419</v>
      </c>
      <c r="N35" s="10" t="s">
        <v>112</v>
      </c>
      <c r="O35" s="10" t="s">
        <v>31</v>
      </c>
      <c r="P35" s="10" t="s">
        <v>73</v>
      </c>
      <c r="Q35" s="11" t="s">
        <v>407</v>
      </c>
      <c r="R35" s="11" t="s">
        <v>420</v>
      </c>
      <c r="S35" s="12" t="s">
        <v>421</v>
      </c>
      <c r="T35" s="11" t="s">
        <v>422</v>
      </c>
    </row>
    <row r="36" spans="1:20" ht="34.5" x14ac:dyDescent="0.35">
      <c r="A36" s="10" t="s">
        <v>423</v>
      </c>
      <c r="B36" s="11" t="s">
        <v>60</v>
      </c>
      <c r="C36" s="11" t="s">
        <v>324</v>
      </c>
      <c r="D36" s="11" t="s">
        <v>424</v>
      </c>
      <c r="E36" s="11" t="s">
        <v>425</v>
      </c>
      <c r="F36" s="11" t="s">
        <v>426</v>
      </c>
      <c r="G36" s="11" t="s">
        <v>427</v>
      </c>
      <c r="H36" s="11" t="s">
        <v>415</v>
      </c>
      <c r="I36" s="10" t="s">
        <v>112</v>
      </c>
      <c r="J36" s="11" t="s">
        <v>428</v>
      </c>
      <c r="K36" s="11" t="s">
        <v>417</v>
      </c>
      <c r="L36" s="11" t="s">
        <v>418</v>
      </c>
      <c r="M36" s="11" t="s">
        <v>429</v>
      </c>
      <c r="N36" s="10" t="s">
        <v>112</v>
      </c>
      <c r="O36" s="10" t="s">
        <v>99</v>
      </c>
      <c r="P36" s="10" t="s">
        <v>73</v>
      </c>
      <c r="Q36" s="11" t="s">
        <v>407</v>
      </c>
      <c r="R36" s="11" t="s">
        <v>420</v>
      </c>
      <c r="S36" s="12" t="s">
        <v>430</v>
      </c>
      <c r="T36" s="11" t="s">
        <v>431</v>
      </c>
    </row>
    <row r="37" spans="1:20" ht="34.5" x14ac:dyDescent="0.35">
      <c r="A37" s="10" t="s">
        <v>432</v>
      </c>
      <c r="B37" s="11" t="s">
        <v>60</v>
      </c>
      <c r="C37" s="11" t="s">
        <v>324</v>
      </c>
      <c r="D37" s="11" t="s">
        <v>433</v>
      </c>
      <c r="E37" s="11" t="s">
        <v>434</v>
      </c>
      <c r="F37" s="11" t="s">
        <v>435</v>
      </c>
      <c r="G37" s="11" t="s">
        <v>436</v>
      </c>
      <c r="H37" s="11" t="s">
        <v>437</v>
      </c>
      <c r="I37" s="10" t="s">
        <v>438</v>
      </c>
      <c r="J37" s="11" t="s">
        <v>439</v>
      </c>
      <c r="K37" s="11" t="s">
        <v>97</v>
      </c>
      <c r="L37" s="11" t="s">
        <v>440</v>
      </c>
      <c r="M37" s="11" t="s">
        <v>441</v>
      </c>
      <c r="N37" s="10" t="s">
        <v>112</v>
      </c>
      <c r="O37" s="10" t="s">
        <v>31</v>
      </c>
      <c r="P37" s="10" t="s">
        <v>73</v>
      </c>
      <c r="Q37" s="11" t="s">
        <v>407</v>
      </c>
      <c r="R37" s="11" t="s">
        <v>97</v>
      </c>
      <c r="S37" s="12" t="s">
        <v>442</v>
      </c>
      <c r="T37" s="11" t="s">
        <v>443</v>
      </c>
    </row>
    <row r="38" spans="1:20" ht="23" x14ac:dyDescent="0.35">
      <c r="A38" s="10" t="s">
        <v>444</v>
      </c>
      <c r="B38" s="11" t="s">
        <v>60</v>
      </c>
      <c r="C38" s="11" t="s">
        <v>324</v>
      </c>
      <c r="D38" s="11" t="s">
        <v>445</v>
      </c>
      <c r="E38" s="11" t="s">
        <v>446</v>
      </c>
      <c r="F38" s="11" t="s">
        <v>447</v>
      </c>
      <c r="G38" s="11" t="s">
        <v>448</v>
      </c>
      <c r="H38" s="11" t="s">
        <v>415</v>
      </c>
      <c r="I38" s="10" t="s">
        <v>112</v>
      </c>
      <c r="J38" s="11" t="s">
        <v>439</v>
      </c>
      <c r="K38" s="11" t="s">
        <v>97</v>
      </c>
      <c r="L38" s="11" t="s">
        <v>449</v>
      </c>
      <c r="M38" s="11" t="s">
        <v>217</v>
      </c>
      <c r="N38" s="10" t="s">
        <v>112</v>
      </c>
      <c r="O38" s="10" t="s">
        <v>99</v>
      </c>
      <c r="P38" s="10" t="s">
        <v>73</v>
      </c>
      <c r="Q38" s="11" t="s">
        <v>407</v>
      </c>
      <c r="R38" s="11" t="s">
        <v>97</v>
      </c>
      <c r="S38" s="12" t="s">
        <v>450</v>
      </c>
      <c r="T38" s="11" t="s">
        <v>451</v>
      </c>
    </row>
    <row r="39" spans="1:20" ht="23" x14ac:dyDescent="0.35">
      <c r="A39" s="10" t="s">
        <v>452</v>
      </c>
      <c r="B39" s="11" t="s">
        <v>60</v>
      </c>
      <c r="C39" s="11" t="s">
        <v>324</v>
      </c>
      <c r="D39" s="11" t="s">
        <v>453</v>
      </c>
      <c r="E39" s="11" t="s">
        <v>454</v>
      </c>
      <c r="F39" s="11" t="s">
        <v>455</v>
      </c>
      <c r="G39" s="11" t="s">
        <v>456</v>
      </c>
      <c r="H39" s="11" t="s">
        <v>457</v>
      </c>
      <c r="I39" s="10" t="s">
        <v>112</v>
      </c>
      <c r="J39" s="11" t="s">
        <v>458</v>
      </c>
      <c r="K39" s="11" t="s">
        <v>459</v>
      </c>
      <c r="L39" s="11" t="s">
        <v>418</v>
      </c>
      <c r="M39" s="11" t="s">
        <v>217</v>
      </c>
      <c r="N39" s="10" t="s">
        <v>112</v>
      </c>
      <c r="O39" s="10" t="s">
        <v>85</v>
      </c>
      <c r="P39" s="10" t="s">
        <v>73</v>
      </c>
      <c r="Q39" s="11" t="s">
        <v>407</v>
      </c>
      <c r="R39" s="11" t="s">
        <v>460</v>
      </c>
      <c r="S39" s="12" t="s">
        <v>461</v>
      </c>
      <c r="T39" s="11" t="s">
        <v>462</v>
      </c>
    </row>
    <row r="40" spans="1:20" ht="23" x14ac:dyDescent="0.35">
      <c r="A40" s="10" t="s">
        <v>463</v>
      </c>
      <c r="B40" s="11" t="s">
        <v>60</v>
      </c>
      <c r="C40" s="11" t="s">
        <v>389</v>
      </c>
      <c r="D40" s="11" t="s">
        <v>464</v>
      </c>
      <c r="E40" s="11" t="s">
        <v>465</v>
      </c>
      <c r="F40" s="11" t="s">
        <v>447</v>
      </c>
      <c r="G40" s="11" t="s">
        <v>466</v>
      </c>
      <c r="H40" s="11" t="s">
        <v>467</v>
      </c>
      <c r="I40" s="10" t="s">
        <v>112</v>
      </c>
      <c r="J40" s="11" t="s">
        <v>468</v>
      </c>
      <c r="K40" s="11" t="s">
        <v>97</v>
      </c>
      <c r="L40" s="11" t="s">
        <v>469</v>
      </c>
      <c r="M40" s="11" t="s">
        <v>217</v>
      </c>
      <c r="N40" s="10" t="s">
        <v>112</v>
      </c>
      <c r="O40" s="10" t="s">
        <v>99</v>
      </c>
      <c r="P40" s="10" t="s">
        <v>73</v>
      </c>
      <c r="Q40" s="11" t="s">
        <v>407</v>
      </c>
      <c r="R40" s="11" t="s">
        <v>97</v>
      </c>
      <c r="S40" s="12" t="s">
        <v>470</v>
      </c>
      <c r="T40" s="11" t="s">
        <v>471</v>
      </c>
    </row>
    <row r="41" spans="1:20" ht="57.5" x14ac:dyDescent="0.35">
      <c r="A41" s="10" t="s">
        <v>472</v>
      </c>
      <c r="B41" s="11" t="s">
        <v>60</v>
      </c>
      <c r="C41" s="11" t="s">
        <v>324</v>
      </c>
      <c r="D41" s="11" t="s">
        <v>473</v>
      </c>
      <c r="E41" s="11" t="s">
        <v>474</v>
      </c>
      <c r="F41" s="11" t="s">
        <v>475</v>
      </c>
      <c r="G41" s="11" t="s">
        <v>476</v>
      </c>
      <c r="H41" s="11" t="s">
        <v>477</v>
      </c>
      <c r="I41" s="10" t="s">
        <v>478</v>
      </c>
      <c r="J41" s="11" t="s">
        <v>82</v>
      </c>
      <c r="K41" s="11" t="s">
        <v>479</v>
      </c>
      <c r="L41" s="11" t="s">
        <v>418</v>
      </c>
      <c r="M41" s="11" t="s">
        <v>480</v>
      </c>
      <c r="N41" s="10" t="s">
        <v>481</v>
      </c>
      <c r="O41" s="10" t="s">
        <v>31</v>
      </c>
      <c r="P41" s="10" t="s">
        <v>73</v>
      </c>
      <c r="Q41" s="11" t="s">
        <v>482</v>
      </c>
      <c r="R41" s="11" t="s">
        <v>483</v>
      </c>
      <c r="S41" s="12" t="s">
        <v>484</v>
      </c>
      <c r="T41" s="11" t="s">
        <v>485</v>
      </c>
    </row>
    <row r="42" spans="1:20" ht="34.5" x14ac:dyDescent="0.35">
      <c r="A42" s="10" t="s">
        <v>486</v>
      </c>
      <c r="B42" s="11" t="s">
        <v>60</v>
      </c>
      <c r="C42" s="11" t="s">
        <v>487</v>
      </c>
      <c r="D42" s="11" t="s">
        <v>488</v>
      </c>
      <c r="E42" s="11" t="s">
        <v>489</v>
      </c>
      <c r="F42" s="11" t="s">
        <v>475</v>
      </c>
      <c r="G42" s="11" t="s">
        <v>490</v>
      </c>
      <c r="H42" s="11" t="s">
        <v>491</v>
      </c>
      <c r="I42" s="10" t="s">
        <v>95</v>
      </c>
      <c r="J42" s="11" t="s">
        <v>492</v>
      </c>
      <c r="K42" s="11" t="s">
        <v>493</v>
      </c>
      <c r="L42" s="11" t="s">
        <v>494</v>
      </c>
      <c r="M42" s="11" t="s">
        <v>98</v>
      </c>
      <c r="N42" s="10" t="s">
        <v>95</v>
      </c>
      <c r="O42" s="10" t="s">
        <v>99</v>
      </c>
      <c r="P42" s="10" t="s">
        <v>73</v>
      </c>
      <c r="Q42" s="11" t="s">
        <v>407</v>
      </c>
      <c r="R42" s="11" t="s">
        <v>495</v>
      </c>
      <c r="S42" s="12" t="s">
        <v>496</v>
      </c>
      <c r="T42" s="11" t="s">
        <v>497</v>
      </c>
    </row>
    <row r="43" spans="1:20" ht="23" x14ac:dyDescent="0.35">
      <c r="A43" s="10" t="s">
        <v>498</v>
      </c>
      <c r="B43" s="11" t="s">
        <v>60</v>
      </c>
      <c r="C43" s="11" t="s">
        <v>162</v>
      </c>
      <c r="D43" s="11" t="s">
        <v>499</v>
      </c>
      <c r="E43" s="11" t="s">
        <v>500</v>
      </c>
      <c r="F43" s="11" t="s">
        <v>501</v>
      </c>
      <c r="G43" s="11" t="s">
        <v>502</v>
      </c>
      <c r="H43" s="11" t="s">
        <v>503</v>
      </c>
      <c r="I43" s="10" t="s">
        <v>72</v>
      </c>
      <c r="J43" s="11" t="s">
        <v>504</v>
      </c>
      <c r="K43" s="11" t="s">
        <v>505</v>
      </c>
      <c r="L43" s="11" t="s">
        <v>506</v>
      </c>
      <c r="M43" s="11" t="s">
        <v>507</v>
      </c>
      <c r="N43" s="10" t="s">
        <v>72</v>
      </c>
      <c r="O43" s="10" t="s">
        <v>99</v>
      </c>
      <c r="P43" s="10" t="s">
        <v>73</v>
      </c>
      <c r="Q43" s="11" t="s">
        <v>508</v>
      </c>
      <c r="R43" s="11" t="s">
        <v>97</v>
      </c>
      <c r="S43" s="12" t="s">
        <v>509</v>
      </c>
      <c r="T43" s="11" t="s">
        <v>510</v>
      </c>
    </row>
    <row r="44" spans="1:20" ht="23" x14ac:dyDescent="0.35">
      <c r="A44" s="10" t="s">
        <v>511</v>
      </c>
      <c r="B44" s="11" t="s">
        <v>60</v>
      </c>
      <c r="C44" s="11" t="s">
        <v>512</v>
      </c>
      <c r="D44" s="11" t="s">
        <v>513</v>
      </c>
      <c r="E44" s="11" t="s">
        <v>514</v>
      </c>
      <c r="F44" s="11" t="s">
        <v>201</v>
      </c>
      <c r="G44" s="11" t="s">
        <v>515</v>
      </c>
      <c r="H44" s="11" t="s">
        <v>181</v>
      </c>
      <c r="I44" s="10" t="s">
        <v>181</v>
      </c>
      <c r="J44" s="11" t="s">
        <v>516</v>
      </c>
      <c r="K44" s="11" t="s">
        <v>517</v>
      </c>
      <c r="L44" s="11" t="s">
        <v>181</v>
      </c>
      <c r="M44" s="11" t="s">
        <v>181</v>
      </c>
      <c r="N44" s="10" t="s">
        <v>181</v>
      </c>
      <c r="O44" s="10" t="s">
        <v>99</v>
      </c>
      <c r="P44" s="10" t="s">
        <v>73</v>
      </c>
      <c r="Q44" s="11" t="s">
        <v>181</v>
      </c>
      <c r="R44" s="11" t="s">
        <v>518</v>
      </c>
      <c r="S44" s="12" t="s">
        <v>519</v>
      </c>
      <c r="T44" s="11" t="s">
        <v>520</v>
      </c>
    </row>
    <row r="45" spans="1:20" ht="23" x14ac:dyDescent="0.35">
      <c r="A45" s="10" t="s">
        <v>521</v>
      </c>
      <c r="B45" s="11" t="s">
        <v>60</v>
      </c>
      <c r="C45" s="11" t="s">
        <v>324</v>
      </c>
      <c r="D45" s="11" t="s">
        <v>522</v>
      </c>
      <c r="E45" s="11" t="s">
        <v>523</v>
      </c>
      <c r="F45" s="11" t="s">
        <v>524</v>
      </c>
      <c r="G45" s="11" t="s">
        <v>525</v>
      </c>
      <c r="H45" s="11" t="s">
        <v>339</v>
      </c>
      <c r="I45" s="10" t="s">
        <v>95</v>
      </c>
      <c r="J45" s="11" t="s">
        <v>526</v>
      </c>
      <c r="K45" s="11" t="s">
        <v>527</v>
      </c>
      <c r="L45" s="11" t="s">
        <v>528</v>
      </c>
      <c r="M45" s="11" t="s">
        <v>98</v>
      </c>
      <c r="N45" s="10" t="s">
        <v>95</v>
      </c>
      <c r="O45" s="10" t="s">
        <v>99</v>
      </c>
      <c r="P45" s="10" t="s">
        <v>73</v>
      </c>
      <c r="Q45" s="11" t="s">
        <v>407</v>
      </c>
      <c r="R45" s="11" t="s">
        <v>420</v>
      </c>
      <c r="S45" s="12" t="s">
        <v>529</v>
      </c>
      <c r="T45" s="11" t="s">
        <v>530</v>
      </c>
    </row>
    <row r="46" spans="1:20" ht="23" x14ac:dyDescent="0.35">
      <c r="A46" s="10" t="s">
        <v>531</v>
      </c>
      <c r="B46" s="11" t="s">
        <v>60</v>
      </c>
      <c r="C46" s="11" t="s">
        <v>324</v>
      </c>
      <c r="D46" s="11" t="s">
        <v>532</v>
      </c>
      <c r="E46" s="11" t="s">
        <v>533</v>
      </c>
      <c r="F46" s="11" t="s">
        <v>534</v>
      </c>
      <c r="G46" s="11" t="s">
        <v>535</v>
      </c>
      <c r="H46" s="11" t="s">
        <v>536</v>
      </c>
      <c r="I46" s="10" t="s">
        <v>72</v>
      </c>
      <c r="J46" s="11" t="s">
        <v>394</v>
      </c>
      <c r="K46" s="11" t="s">
        <v>97</v>
      </c>
      <c r="L46" s="11" t="s">
        <v>537</v>
      </c>
      <c r="M46" s="11" t="s">
        <v>98</v>
      </c>
      <c r="N46" s="10" t="s">
        <v>72</v>
      </c>
      <c r="O46" s="10" t="s">
        <v>99</v>
      </c>
      <c r="P46" s="10" t="s">
        <v>73</v>
      </c>
      <c r="Q46" s="11" t="s">
        <v>407</v>
      </c>
      <c r="R46" s="11" t="s">
        <v>97</v>
      </c>
      <c r="S46" s="12" t="s">
        <v>538</v>
      </c>
      <c r="T46" s="11" t="s">
        <v>539</v>
      </c>
    </row>
    <row r="47" spans="1:20" ht="34.5" x14ac:dyDescent="0.35">
      <c r="A47" s="10" t="s">
        <v>540</v>
      </c>
      <c r="B47" s="11" t="s">
        <v>60</v>
      </c>
      <c r="C47" s="11" t="s">
        <v>324</v>
      </c>
      <c r="D47" s="11" t="s">
        <v>541</v>
      </c>
      <c r="E47" s="11" t="s">
        <v>542</v>
      </c>
      <c r="F47" s="11" t="s">
        <v>543</v>
      </c>
      <c r="G47" s="11" t="s">
        <v>544</v>
      </c>
      <c r="H47" s="11" t="s">
        <v>545</v>
      </c>
      <c r="I47" s="10" t="s">
        <v>546</v>
      </c>
      <c r="J47" s="11" t="s">
        <v>547</v>
      </c>
      <c r="K47" s="11" t="s">
        <v>548</v>
      </c>
      <c r="L47" s="11" t="s">
        <v>549</v>
      </c>
      <c r="M47" s="11" t="s">
        <v>217</v>
      </c>
      <c r="N47" s="10" t="s">
        <v>95</v>
      </c>
      <c r="O47" s="10" t="s">
        <v>85</v>
      </c>
      <c r="P47" s="10" t="s">
        <v>73</v>
      </c>
      <c r="Q47" s="11" t="s">
        <v>407</v>
      </c>
      <c r="R47" s="11" t="s">
        <v>420</v>
      </c>
      <c r="S47" s="12" t="s">
        <v>550</v>
      </c>
      <c r="T47" s="11" t="s">
        <v>551</v>
      </c>
    </row>
    <row r="48" spans="1:20" ht="23" x14ac:dyDescent="0.35">
      <c r="A48" s="10" t="s">
        <v>552</v>
      </c>
      <c r="B48" s="11" t="s">
        <v>60</v>
      </c>
      <c r="C48" s="11" t="s">
        <v>553</v>
      </c>
      <c r="D48" s="11" t="s">
        <v>554</v>
      </c>
      <c r="E48" s="11" t="s">
        <v>555</v>
      </c>
      <c r="F48" s="11" t="s">
        <v>556</v>
      </c>
      <c r="G48" s="11" t="s">
        <v>557</v>
      </c>
      <c r="H48" s="11" t="s">
        <v>558</v>
      </c>
      <c r="I48" s="10" t="s">
        <v>559</v>
      </c>
      <c r="J48" s="11" t="s">
        <v>560</v>
      </c>
      <c r="K48" s="11" t="s">
        <v>97</v>
      </c>
      <c r="L48" s="11" t="s">
        <v>561</v>
      </c>
      <c r="M48" s="11" t="s">
        <v>562</v>
      </c>
      <c r="N48" s="10" t="s">
        <v>481</v>
      </c>
      <c r="O48" s="10" t="s">
        <v>31</v>
      </c>
      <c r="P48" s="10" t="s">
        <v>73</v>
      </c>
      <c r="Q48" s="11" t="s">
        <v>563</v>
      </c>
      <c r="R48" s="11" t="s">
        <v>97</v>
      </c>
      <c r="S48" s="12" t="s">
        <v>564</v>
      </c>
      <c r="T48" s="11" t="s">
        <v>565</v>
      </c>
    </row>
    <row r="49" spans="1:20" ht="23" x14ac:dyDescent="0.35">
      <c r="A49" s="10" t="s">
        <v>566</v>
      </c>
      <c r="B49" s="11" t="s">
        <v>60</v>
      </c>
      <c r="C49" s="11" t="s">
        <v>553</v>
      </c>
      <c r="D49" s="11" t="s">
        <v>567</v>
      </c>
      <c r="E49" s="11" t="s">
        <v>555</v>
      </c>
      <c r="F49" s="11" t="s">
        <v>568</v>
      </c>
      <c r="G49" s="11" t="s">
        <v>569</v>
      </c>
      <c r="H49" s="11" t="s">
        <v>570</v>
      </c>
      <c r="I49" s="10" t="s">
        <v>571</v>
      </c>
      <c r="J49" s="11" t="s">
        <v>572</v>
      </c>
      <c r="K49" s="11" t="s">
        <v>97</v>
      </c>
      <c r="L49" s="11" t="s">
        <v>205</v>
      </c>
      <c r="M49" s="11" t="s">
        <v>573</v>
      </c>
      <c r="N49" s="10" t="s">
        <v>571</v>
      </c>
      <c r="O49" s="10" t="s">
        <v>31</v>
      </c>
      <c r="P49" s="10" t="s">
        <v>73</v>
      </c>
      <c r="Q49" s="11" t="s">
        <v>574</v>
      </c>
      <c r="R49" s="11" t="s">
        <v>97</v>
      </c>
      <c r="S49" s="12" t="s">
        <v>564</v>
      </c>
      <c r="T49" s="11" t="s">
        <v>575</v>
      </c>
    </row>
    <row r="50" spans="1:20" ht="23" x14ac:dyDescent="0.35">
      <c r="A50" s="10" t="s">
        <v>576</v>
      </c>
      <c r="B50" s="11" t="s">
        <v>60</v>
      </c>
      <c r="C50" s="11" t="s">
        <v>553</v>
      </c>
      <c r="D50" s="11" t="s">
        <v>577</v>
      </c>
      <c r="E50" s="11" t="s">
        <v>555</v>
      </c>
      <c r="F50" s="11" t="s">
        <v>568</v>
      </c>
      <c r="G50" s="11" t="s">
        <v>578</v>
      </c>
      <c r="H50" s="11" t="s">
        <v>579</v>
      </c>
      <c r="I50" s="10" t="s">
        <v>580</v>
      </c>
      <c r="J50" s="11" t="s">
        <v>581</v>
      </c>
      <c r="K50" s="11" t="s">
        <v>97</v>
      </c>
      <c r="L50" s="11" t="s">
        <v>205</v>
      </c>
      <c r="M50" s="11" t="s">
        <v>582</v>
      </c>
      <c r="N50" s="10" t="s">
        <v>112</v>
      </c>
      <c r="O50" s="10" t="s">
        <v>85</v>
      </c>
      <c r="P50" s="10" t="s">
        <v>73</v>
      </c>
      <c r="Q50" s="11" t="s">
        <v>583</v>
      </c>
      <c r="R50" s="11" t="s">
        <v>97</v>
      </c>
      <c r="S50" s="12" t="s">
        <v>564</v>
      </c>
      <c r="T50" s="11" t="s">
        <v>584</v>
      </c>
    </row>
    <row r="51" spans="1:20" ht="23" x14ac:dyDescent="0.35">
      <c r="A51" s="10" t="s">
        <v>585</v>
      </c>
      <c r="B51" s="11" t="s">
        <v>60</v>
      </c>
      <c r="C51" s="11" t="s">
        <v>553</v>
      </c>
      <c r="D51" s="11" t="s">
        <v>586</v>
      </c>
      <c r="E51" s="11" t="s">
        <v>555</v>
      </c>
      <c r="F51" s="11" t="s">
        <v>556</v>
      </c>
      <c r="G51" s="11" t="s">
        <v>587</v>
      </c>
      <c r="H51" s="11" t="s">
        <v>588</v>
      </c>
      <c r="I51" s="10" t="s">
        <v>589</v>
      </c>
      <c r="J51" s="11" t="s">
        <v>590</v>
      </c>
      <c r="K51" s="11" t="s">
        <v>97</v>
      </c>
      <c r="L51" s="11" t="s">
        <v>591</v>
      </c>
      <c r="M51" s="11" t="s">
        <v>592</v>
      </c>
      <c r="N51" s="10" t="s">
        <v>112</v>
      </c>
      <c r="O51" s="10" t="s">
        <v>85</v>
      </c>
      <c r="P51" s="10" t="s">
        <v>73</v>
      </c>
      <c r="Q51" s="11" t="s">
        <v>563</v>
      </c>
      <c r="R51" s="11" t="s">
        <v>97</v>
      </c>
      <c r="S51" s="12" t="s">
        <v>564</v>
      </c>
      <c r="T51" s="11" t="s">
        <v>593</v>
      </c>
    </row>
    <row r="52" spans="1:20" ht="23" x14ac:dyDescent="0.35">
      <c r="A52" s="10" t="s">
        <v>594</v>
      </c>
      <c r="B52" s="11" t="s">
        <v>60</v>
      </c>
      <c r="C52" s="11" t="s">
        <v>553</v>
      </c>
      <c r="D52" s="11" t="s">
        <v>595</v>
      </c>
      <c r="E52" s="11" t="s">
        <v>555</v>
      </c>
      <c r="F52" s="11" t="s">
        <v>568</v>
      </c>
      <c r="G52" s="11" t="s">
        <v>596</v>
      </c>
      <c r="H52" s="11" t="s">
        <v>597</v>
      </c>
      <c r="I52" s="10" t="s">
        <v>72</v>
      </c>
      <c r="J52" s="11" t="s">
        <v>598</v>
      </c>
      <c r="K52" s="11" t="s">
        <v>97</v>
      </c>
      <c r="L52" s="11" t="s">
        <v>599</v>
      </c>
      <c r="M52" s="11" t="s">
        <v>582</v>
      </c>
      <c r="N52" s="10" t="s">
        <v>72</v>
      </c>
      <c r="O52" s="10" t="s">
        <v>85</v>
      </c>
      <c r="P52" s="10" t="s">
        <v>73</v>
      </c>
      <c r="Q52" s="11" t="s">
        <v>600</v>
      </c>
      <c r="R52" s="11" t="s">
        <v>97</v>
      </c>
      <c r="S52" s="12" t="s">
        <v>564</v>
      </c>
      <c r="T52" s="11" t="s">
        <v>601</v>
      </c>
    </row>
    <row r="53" spans="1:20" ht="23" x14ac:dyDescent="0.35">
      <c r="A53" s="10" t="s">
        <v>602</v>
      </c>
      <c r="B53" s="11" t="s">
        <v>60</v>
      </c>
      <c r="C53" s="11" t="s">
        <v>553</v>
      </c>
      <c r="D53" s="11" t="s">
        <v>603</v>
      </c>
      <c r="E53" s="11" t="s">
        <v>604</v>
      </c>
      <c r="F53" s="11" t="s">
        <v>568</v>
      </c>
      <c r="G53" s="11" t="s">
        <v>605</v>
      </c>
      <c r="H53" s="11" t="s">
        <v>606</v>
      </c>
      <c r="I53" s="10" t="s">
        <v>72</v>
      </c>
      <c r="J53" s="11" t="s">
        <v>607</v>
      </c>
      <c r="K53" s="11" t="s">
        <v>97</v>
      </c>
      <c r="L53" s="11" t="s">
        <v>608</v>
      </c>
      <c r="M53" s="11" t="s">
        <v>582</v>
      </c>
      <c r="N53" s="10" t="s">
        <v>72</v>
      </c>
      <c r="O53" s="10" t="s">
        <v>31</v>
      </c>
      <c r="P53" s="10" t="s">
        <v>73</v>
      </c>
      <c r="Q53" s="11" t="s">
        <v>600</v>
      </c>
      <c r="R53" s="11" t="s">
        <v>97</v>
      </c>
      <c r="S53" s="12" t="s">
        <v>609</v>
      </c>
      <c r="T53" s="11" t="s">
        <v>610</v>
      </c>
    </row>
    <row r="54" spans="1:20" ht="23" x14ac:dyDescent="0.35">
      <c r="A54" s="10" t="s">
        <v>611</v>
      </c>
      <c r="B54" s="11" t="s">
        <v>60</v>
      </c>
      <c r="C54" s="11" t="s">
        <v>612</v>
      </c>
      <c r="D54" s="11" t="s">
        <v>613</v>
      </c>
      <c r="E54" s="11" t="s">
        <v>555</v>
      </c>
      <c r="F54" s="11" t="s">
        <v>614</v>
      </c>
      <c r="G54" s="11" t="s">
        <v>615</v>
      </c>
      <c r="H54" s="11" t="s">
        <v>616</v>
      </c>
      <c r="I54" s="10" t="s">
        <v>109</v>
      </c>
      <c r="J54" s="11" t="s">
        <v>617</v>
      </c>
      <c r="K54" s="11" t="s">
        <v>97</v>
      </c>
      <c r="L54" s="11" t="s">
        <v>449</v>
      </c>
      <c r="M54" s="11" t="s">
        <v>217</v>
      </c>
      <c r="N54" s="10" t="s">
        <v>618</v>
      </c>
      <c r="O54" s="10" t="s">
        <v>99</v>
      </c>
      <c r="P54" s="10" t="s">
        <v>73</v>
      </c>
      <c r="Q54" s="11" t="s">
        <v>619</v>
      </c>
      <c r="R54" s="11" t="s">
        <v>97</v>
      </c>
      <c r="S54" s="12" t="s">
        <v>564</v>
      </c>
      <c r="T54" s="11" t="s">
        <v>620</v>
      </c>
    </row>
    <row r="55" spans="1:20" ht="23" x14ac:dyDescent="0.35">
      <c r="A55" s="10" t="s">
        <v>621</v>
      </c>
      <c r="B55" s="11" t="s">
        <v>60</v>
      </c>
      <c r="C55" s="11" t="s">
        <v>622</v>
      </c>
      <c r="D55" s="11" t="s">
        <v>623</v>
      </c>
      <c r="E55" s="11" t="s">
        <v>624</v>
      </c>
      <c r="F55" s="11" t="s">
        <v>625</v>
      </c>
      <c r="G55" s="11" t="s">
        <v>626</v>
      </c>
      <c r="H55" s="11" t="s">
        <v>627</v>
      </c>
      <c r="I55" s="10" t="s">
        <v>181</v>
      </c>
      <c r="J55" s="11" t="s">
        <v>181</v>
      </c>
      <c r="K55" s="11" t="s">
        <v>97</v>
      </c>
      <c r="L55" s="11" t="s">
        <v>628</v>
      </c>
      <c r="M55" s="11" t="s">
        <v>217</v>
      </c>
      <c r="N55" s="10" t="s">
        <v>181</v>
      </c>
      <c r="O55" s="10" t="s">
        <v>31</v>
      </c>
      <c r="P55" s="10" t="s">
        <v>73</v>
      </c>
      <c r="Q55" s="11" t="s">
        <v>629</v>
      </c>
      <c r="R55" s="11" t="s">
        <v>97</v>
      </c>
      <c r="S55" s="12" t="s">
        <v>630</v>
      </c>
      <c r="T55" s="11" t="s">
        <v>631</v>
      </c>
    </row>
    <row r="56" spans="1:20" ht="34.5" x14ac:dyDescent="0.35">
      <c r="A56" s="10" t="s">
        <v>632</v>
      </c>
      <c r="B56" s="11" t="s">
        <v>60</v>
      </c>
      <c r="C56" s="11" t="s">
        <v>324</v>
      </c>
      <c r="D56" s="11" t="s">
        <v>633</v>
      </c>
      <c r="E56" s="11" t="s">
        <v>634</v>
      </c>
      <c r="F56" s="11" t="s">
        <v>635</v>
      </c>
      <c r="G56" s="11" t="s">
        <v>636</v>
      </c>
      <c r="H56" s="11" t="s">
        <v>637</v>
      </c>
      <c r="I56" s="10" t="s">
        <v>112</v>
      </c>
      <c r="J56" s="11" t="s">
        <v>638</v>
      </c>
      <c r="K56" s="11" t="s">
        <v>97</v>
      </c>
      <c r="L56" s="11" t="s">
        <v>639</v>
      </c>
      <c r="M56" s="11" t="s">
        <v>640</v>
      </c>
      <c r="N56" s="10" t="s">
        <v>112</v>
      </c>
      <c r="O56" s="10" t="s">
        <v>31</v>
      </c>
      <c r="P56" s="10" t="s">
        <v>73</v>
      </c>
      <c r="Q56" s="11" t="s">
        <v>407</v>
      </c>
      <c r="R56" s="11" t="s">
        <v>97</v>
      </c>
      <c r="S56" s="12" t="s">
        <v>641</v>
      </c>
      <c r="T56" s="11" t="s">
        <v>642</v>
      </c>
    </row>
    <row r="57" spans="1:20" ht="23" x14ac:dyDescent="0.35">
      <c r="A57" s="10" t="s">
        <v>643</v>
      </c>
      <c r="B57" s="11" t="s">
        <v>60</v>
      </c>
      <c r="C57" s="11" t="s">
        <v>644</v>
      </c>
      <c r="D57" s="11" t="s">
        <v>645</v>
      </c>
      <c r="E57" s="11" t="s">
        <v>646</v>
      </c>
      <c r="F57" s="11" t="s">
        <v>647</v>
      </c>
      <c r="G57" s="11" t="s">
        <v>648</v>
      </c>
      <c r="H57" s="11" t="s">
        <v>649</v>
      </c>
      <c r="I57" s="10" t="s">
        <v>112</v>
      </c>
      <c r="J57" s="11" t="s">
        <v>650</v>
      </c>
      <c r="K57" s="11" t="s">
        <v>97</v>
      </c>
      <c r="L57" s="11" t="s">
        <v>651</v>
      </c>
      <c r="M57" s="11" t="s">
        <v>582</v>
      </c>
      <c r="N57" s="10" t="s">
        <v>112</v>
      </c>
      <c r="O57" s="10" t="s">
        <v>31</v>
      </c>
      <c r="P57" s="10" t="s">
        <v>73</v>
      </c>
      <c r="Q57" s="11" t="s">
        <v>652</v>
      </c>
      <c r="R57" s="11" t="s">
        <v>138</v>
      </c>
      <c r="S57" s="12" t="s">
        <v>653</v>
      </c>
      <c r="T57" s="11" t="s">
        <v>654</v>
      </c>
    </row>
    <row r="58" spans="1:20" ht="23" x14ac:dyDescent="0.35">
      <c r="A58" s="10" t="s">
        <v>655</v>
      </c>
      <c r="B58" s="11" t="s">
        <v>60</v>
      </c>
      <c r="C58" s="11" t="s">
        <v>324</v>
      </c>
      <c r="D58" s="11" t="s">
        <v>656</v>
      </c>
      <c r="E58" s="11" t="s">
        <v>646</v>
      </c>
      <c r="F58" s="11" t="s">
        <v>647</v>
      </c>
      <c r="G58" s="11" t="s">
        <v>657</v>
      </c>
      <c r="H58" s="11" t="s">
        <v>658</v>
      </c>
      <c r="I58" s="10" t="s">
        <v>72</v>
      </c>
      <c r="J58" s="11" t="s">
        <v>659</v>
      </c>
      <c r="K58" s="11" t="s">
        <v>97</v>
      </c>
      <c r="L58" s="11" t="s">
        <v>660</v>
      </c>
      <c r="M58" s="11" t="s">
        <v>582</v>
      </c>
      <c r="N58" s="10" t="s">
        <v>72</v>
      </c>
      <c r="O58" s="10" t="s">
        <v>31</v>
      </c>
      <c r="P58" s="10" t="s">
        <v>73</v>
      </c>
      <c r="Q58" s="11" t="s">
        <v>407</v>
      </c>
      <c r="R58" s="11" t="s">
        <v>138</v>
      </c>
      <c r="S58" s="12" t="s">
        <v>653</v>
      </c>
      <c r="T58" s="11" t="s">
        <v>661</v>
      </c>
    </row>
    <row r="59" spans="1:20" ht="23" x14ac:dyDescent="0.35">
      <c r="A59" s="10" t="s">
        <v>662</v>
      </c>
      <c r="B59" s="11" t="s">
        <v>60</v>
      </c>
      <c r="C59" s="11" t="s">
        <v>663</v>
      </c>
      <c r="D59" s="11" t="s">
        <v>664</v>
      </c>
      <c r="E59" s="11" t="s">
        <v>665</v>
      </c>
      <c r="F59" s="11" t="s">
        <v>666</v>
      </c>
      <c r="G59" s="11" t="s">
        <v>667</v>
      </c>
      <c r="H59" s="11" t="s">
        <v>668</v>
      </c>
      <c r="I59" s="10" t="s">
        <v>72</v>
      </c>
      <c r="J59" s="11" t="s">
        <v>669</v>
      </c>
      <c r="K59" s="11" t="s">
        <v>97</v>
      </c>
      <c r="L59" s="11" t="s">
        <v>83</v>
      </c>
      <c r="M59" s="11" t="s">
        <v>385</v>
      </c>
      <c r="N59" s="10" t="s">
        <v>72</v>
      </c>
      <c r="O59" s="10" t="s">
        <v>85</v>
      </c>
      <c r="P59" s="10" t="s">
        <v>73</v>
      </c>
      <c r="Q59" s="11" t="s">
        <v>583</v>
      </c>
      <c r="R59" s="11" t="s">
        <v>138</v>
      </c>
      <c r="S59" s="12" t="s">
        <v>670</v>
      </c>
      <c r="T59" s="11" t="s">
        <v>671</v>
      </c>
    </row>
    <row r="60" spans="1:20" ht="23" x14ac:dyDescent="0.35">
      <c r="A60" s="10" t="s">
        <v>672</v>
      </c>
      <c r="B60" s="11" t="s">
        <v>60</v>
      </c>
      <c r="C60" s="11" t="s">
        <v>663</v>
      </c>
      <c r="D60" s="11" t="s">
        <v>673</v>
      </c>
      <c r="E60" s="11" t="s">
        <v>674</v>
      </c>
      <c r="F60" s="11" t="s">
        <v>675</v>
      </c>
      <c r="G60" s="11" t="s">
        <v>676</v>
      </c>
      <c r="H60" s="11" t="s">
        <v>677</v>
      </c>
      <c r="I60" s="10" t="s">
        <v>72</v>
      </c>
      <c r="J60" s="11" t="s">
        <v>110</v>
      </c>
      <c r="K60" s="11" t="s">
        <v>97</v>
      </c>
      <c r="L60" s="11" t="s">
        <v>678</v>
      </c>
      <c r="M60" s="11" t="s">
        <v>385</v>
      </c>
      <c r="N60" s="10" t="s">
        <v>72</v>
      </c>
      <c r="O60" s="10" t="s">
        <v>99</v>
      </c>
      <c r="P60" s="10" t="s">
        <v>73</v>
      </c>
      <c r="Q60" s="11" t="s">
        <v>583</v>
      </c>
      <c r="R60" s="11" t="s">
        <v>138</v>
      </c>
      <c r="S60" s="12" t="s">
        <v>679</v>
      </c>
      <c r="T60" s="11"/>
    </row>
    <row r="61" spans="1:20" x14ac:dyDescent="0.35">
      <c r="A61" s="10" t="s">
        <v>680</v>
      </c>
      <c r="B61" s="11" t="s">
        <v>60</v>
      </c>
      <c r="C61" s="11" t="s">
        <v>663</v>
      </c>
      <c r="D61" s="11" t="s">
        <v>681</v>
      </c>
      <c r="E61" s="11" t="s">
        <v>682</v>
      </c>
      <c r="F61" s="11" t="s">
        <v>683</v>
      </c>
      <c r="G61" s="11" t="s">
        <v>684</v>
      </c>
      <c r="H61" s="11" t="s">
        <v>668</v>
      </c>
      <c r="I61" s="10" t="s">
        <v>72</v>
      </c>
      <c r="J61" s="11" t="s">
        <v>685</v>
      </c>
      <c r="K61" s="11" t="s">
        <v>97</v>
      </c>
      <c r="L61" s="11" t="s">
        <v>686</v>
      </c>
      <c r="M61" s="11" t="s">
        <v>385</v>
      </c>
      <c r="N61" s="10" t="s">
        <v>72</v>
      </c>
      <c r="O61" s="10" t="s">
        <v>85</v>
      </c>
      <c r="P61" s="10" t="s">
        <v>73</v>
      </c>
      <c r="Q61" s="11" t="s">
        <v>583</v>
      </c>
      <c r="R61" s="11" t="s">
        <v>138</v>
      </c>
      <c r="S61" s="12" t="s">
        <v>687</v>
      </c>
      <c r="T61" s="11" t="s">
        <v>688</v>
      </c>
    </row>
    <row r="62" spans="1:20" ht="34.5" x14ac:dyDescent="0.35">
      <c r="A62" s="10" t="s">
        <v>689</v>
      </c>
      <c r="B62" s="11" t="s">
        <v>60</v>
      </c>
      <c r="C62" s="11" t="s">
        <v>324</v>
      </c>
      <c r="D62" s="11" t="s">
        <v>690</v>
      </c>
      <c r="E62" s="11" t="s">
        <v>691</v>
      </c>
      <c r="F62" s="11" t="s">
        <v>692</v>
      </c>
      <c r="G62" s="11" t="s">
        <v>693</v>
      </c>
      <c r="H62" s="11" t="s">
        <v>694</v>
      </c>
      <c r="I62" s="10" t="s">
        <v>72</v>
      </c>
      <c r="J62" s="11" t="s">
        <v>96</v>
      </c>
      <c r="K62" s="11" t="s">
        <v>97</v>
      </c>
      <c r="L62" s="11" t="s">
        <v>695</v>
      </c>
      <c r="M62" s="11" t="s">
        <v>582</v>
      </c>
      <c r="N62" s="10" t="s">
        <v>72</v>
      </c>
      <c r="O62" s="10" t="s">
        <v>31</v>
      </c>
      <c r="P62" s="10" t="s">
        <v>73</v>
      </c>
      <c r="Q62" s="11" t="s">
        <v>407</v>
      </c>
      <c r="R62" s="11" t="s">
        <v>138</v>
      </c>
      <c r="S62" s="12" t="s">
        <v>696</v>
      </c>
      <c r="T62" s="11" t="s">
        <v>697</v>
      </c>
    </row>
    <row r="63" spans="1:20" ht="34.5" x14ac:dyDescent="0.35">
      <c r="A63" s="10" t="s">
        <v>698</v>
      </c>
      <c r="B63" s="11" t="s">
        <v>60</v>
      </c>
      <c r="C63" s="11" t="s">
        <v>324</v>
      </c>
      <c r="D63" s="11" t="s">
        <v>699</v>
      </c>
      <c r="E63" s="11" t="s">
        <v>700</v>
      </c>
      <c r="F63" s="11" t="s">
        <v>701</v>
      </c>
      <c r="G63" s="11" t="s">
        <v>702</v>
      </c>
      <c r="H63" s="11" t="s">
        <v>703</v>
      </c>
      <c r="I63" s="10" t="s">
        <v>704</v>
      </c>
      <c r="J63" s="11" t="s">
        <v>705</v>
      </c>
      <c r="K63" s="11" t="s">
        <v>97</v>
      </c>
      <c r="L63" s="11" t="s">
        <v>651</v>
      </c>
      <c r="M63" s="11" t="s">
        <v>706</v>
      </c>
      <c r="N63" s="10" t="s">
        <v>571</v>
      </c>
      <c r="O63" s="10" t="s">
        <v>85</v>
      </c>
      <c r="P63" s="10" t="s">
        <v>73</v>
      </c>
      <c r="Q63" s="11" t="s">
        <v>407</v>
      </c>
      <c r="R63" s="11" t="s">
        <v>126</v>
      </c>
      <c r="S63" s="12" t="s">
        <v>707</v>
      </c>
      <c r="T63" s="11" t="s">
        <v>708</v>
      </c>
    </row>
    <row r="64" spans="1:20" ht="23" x14ac:dyDescent="0.35">
      <c r="A64" s="10" t="s">
        <v>709</v>
      </c>
      <c r="B64" s="11" t="s">
        <v>60</v>
      </c>
      <c r="C64" s="11" t="s">
        <v>324</v>
      </c>
      <c r="D64" s="11" t="s">
        <v>710</v>
      </c>
      <c r="E64" s="11" t="s">
        <v>711</v>
      </c>
      <c r="F64" s="11" t="s">
        <v>701</v>
      </c>
      <c r="G64" s="11" t="s">
        <v>712</v>
      </c>
      <c r="H64" s="11" t="s">
        <v>713</v>
      </c>
      <c r="I64" s="10" t="s">
        <v>72</v>
      </c>
      <c r="J64" s="11" t="s">
        <v>714</v>
      </c>
      <c r="K64" s="11" t="s">
        <v>97</v>
      </c>
      <c r="L64" s="11" t="s">
        <v>715</v>
      </c>
      <c r="M64" s="11" t="s">
        <v>706</v>
      </c>
      <c r="N64" s="10" t="s">
        <v>72</v>
      </c>
      <c r="O64" s="10" t="s">
        <v>85</v>
      </c>
      <c r="P64" s="10" t="s">
        <v>73</v>
      </c>
      <c r="Q64" s="11" t="s">
        <v>407</v>
      </c>
      <c r="R64" s="11" t="s">
        <v>138</v>
      </c>
      <c r="S64" s="12" t="s">
        <v>716</v>
      </c>
      <c r="T64" s="11" t="s">
        <v>717</v>
      </c>
    </row>
    <row r="65" spans="1:20" ht="23" x14ac:dyDescent="0.35">
      <c r="A65" s="10" t="s">
        <v>718</v>
      </c>
      <c r="B65" s="11" t="s">
        <v>60</v>
      </c>
      <c r="C65" s="11" t="s">
        <v>622</v>
      </c>
      <c r="D65" s="11" t="s">
        <v>719</v>
      </c>
      <c r="E65" s="11" t="s">
        <v>646</v>
      </c>
      <c r="F65" s="11" t="s">
        <v>720</v>
      </c>
      <c r="G65" s="11" t="s">
        <v>721</v>
      </c>
      <c r="H65" s="11" t="s">
        <v>722</v>
      </c>
      <c r="I65" s="10" t="s">
        <v>181</v>
      </c>
      <c r="J65" s="11" t="s">
        <v>181</v>
      </c>
      <c r="K65" s="11" t="s">
        <v>97</v>
      </c>
      <c r="L65" s="11" t="s">
        <v>449</v>
      </c>
      <c r="M65" s="11" t="s">
        <v>217</v>
      </c>
      <c r="N65" s="10" t="s">
        <v>181</v>
      </c>
      <c r="O65" s="10" t="s">
        <v>85</v>
      </c>
      <c r="P65" s="10" t="s">
        <v>73</v>
      </c>
      <c r="Q65" s="11" t="s">
        <v>629</v>
      </c>
      <c r="R65" s="11" t="s">
        <v>138</v>
      </c>
      <c r="S65" s="12" t="s">
        <v>723</v>
      </c>
      <c r="T65" s="11" t="s">
        <v>724</v>
      </c>
    </row>
    <row r="66" spans="1:20" ht="23" x14ac:dyDescent="0.35">
      <c r="A66" s="10" t="s">
        <v>725</v>
      </c>
      <c r="B66" s="11" t="s">
        <v>60</v>
      </c>
      <c r="C66" s="11" t="s">
        <v>324</v>
      </c>
      <c r="D66" s="11" t="s">
        <v>726</v>
      </c>
      <c r="E66" s="11" t="s">
        <v>727</v>
      </c>
      <c r="F66" s="11" t="s">
        <v>728</v>
      </c>
      <c r="G66" s="11" t="s">
        <v>729</v>
      </c>
      <c r="H66" s="11" t="s">
        <v>730</v>
      </c>
      <c r="I66" s="10" t="s">
        <v>72</v>
      </c>
      <c r="J66" s="11" t="s">
        <v>731</v>
      </c>
      <c r="K66" s="11" t="s">
        <v>97</v>
      </c>
      <c r="L66" s="11" t="s">
        <v>494</v>
      </c>
      <c r="M66" s="11" t="s">
        <v>98</v>
      </c>
      <c r="N66" s="10" t="s">
        <v>72</v>
      </c>
      <c r="O66" s="10" t="s">
        <v>99</v>
      </c>
      <c r="P66" s="10" t="s">
        <v>73</v>
      </c>
      <c r="Q66" s="11" t="s">
        <v>407</v>
      </c>
      <c r="R66" s="11" t="s">
        <v>138</v>
      </c>
      <c r="S66" s="12" t="s">
        <v>732</v>
      </c>
      <c r="T66" s="11" t="s">
        <v>733</v>
      </c>
    </row>
    <row r="67" spans="1:20" ht="34.5" x14ac:dyDescent="0.35">
      <c r="A67" s="10" t="s">
        <v>734</v>
      </c>
      <c r="B67" s="11" t="s">
        <v>60</v>
      </c>
      <c r="C67" s="11" t="s">
        <v>644</v>
      </c>
      <c r="D67" s="11" t="s">
        <v>735</v>
      </c>
      <c r="E67" s="11" t="s">
        <v>736</v>
      </c>
      <c r="F67" s="11" t="s">
        <v>737</v>
      </c>
      <c r="G67" s="11" t="s">
        <v>738</v>
      </c>
      <c r="H67" s="11" t="s">
        <v>739</v>
      </c>
      <c r="I67" s="10" t="s">
        <v>571</v>
      </c>
      <c r="J67" s="11" t="s">
        <v>740</v>
      </c>
      <c r="K67" s="11" t="s">
        <v>97</v>
      </c>
      <c r="L67" s="11" t="s">
        <v>741</v>
      </c>
      <c r="M67" s="11" t="s">
        <v>742</v>
      </c>
      <c r="N67" s="10" t="s">
        <v>571</v>
      </c>
      <c r="O67" s="10" t="s">
        <v>85</v>
      </c>
      <c r="P67" s="10" t="s">
        <v>73</v>
      </c>
      <c r="Q67" s="11" t="s">
        <v>652</v>
      </c>
      <c r="R67" s="11" t="s">
        <v>97</v>
      </c>
      <c r="S67" s="12" t="s">
        <v>743</v>
      </c>
      <c r="T67" s="11" t="s">
        <v>744</v>
      </c>
    </row>
    <row r="68" spans="1:20" ht="23" x14ac:dyDescent="0.35">
      <c r="A68" s="10" t="s">
        <v>745</v>
      </c>
      <c r="B68" s="11" t="s">
        <v>746</v>
      </c>
      <c r="C68" s="11" t="s">
        <v>324</v>
      </c>
      <c r="D68" s="11" t="s">
        <v>747</v>
      </c>
      <c r="E68" s="11" t="s">
        <v>748</v>
      </c>
      <c r="F68" s="11" t="s">
        <v>749</v>
      </c>
      <c r="G68" s="11" t="s">
        <v>750</v>
      </c>
      <c r="H68" s="11" t="s">
        <v>597</v>
      </c>
      <c r="I68" s="10" t="s">
        <v>72</v>
      </c>
      <c r="J68" s="11" t="s">
        <v>250</v>
      </c>
      <c r="K68" s="11" t="s">
        <v>97</v>
      </c>
      <c r="L68" s="11" t="s">
        <v>751</v>
      </c>
      <c r="M68" s="11" t="s">
        <v>706</v>
      </c>
      <c r="N68" s="10" t="s">
        <v>72</v>
      </c>
      <c r="O68" s="10" t="s">
        <v>85</v>
      </c>
      <c r="P68" s="10" t="s">
        <v>73</v>
      </c>
      <c r="Q68" s="11" t="s">
        <v>752</v>
      </c>
      <c r="R68" s="11" t="s">
        <v>97</v>
      </c>
      <c r="S68" s="12" t="s">
        <v>753</v>
      </c>
      <c r="T68" s="11" t="s">
        <v>754</v>
      </c>
    </row>
    <row r="69" spans="1:20" ht="23" x14ac:dyDescent="0.35">
      <c r="A69" s="10" t="s">
        <v>755</v>
      </c>
      <c r="B69" s="11" t="s">
        <v>746</v>
      </c>
      <c r="C69" s="11" t="s">
        <v>324</v>
      </c>
      <c r="D69" s="11" t="s">
        <v>756</v>
      </c>
      <c r="E69" s="11" t="s">
        <v>757</v>
      </c>
      <c r="F69" s="11" t="s">
        <v>201</v>
      </c>
      <c r="G69" s="11" t="s">
        <v>758</v>
      </c>
      <c r="H69" s="11" t="s">
        <v>467</v>
      </c>
      <c r="I69" s="10" t="s">
        <v>112</v>
      </c>
      <c r="J69" s="11" t="s">
        <v>759</v>
      </c>
      <c r="K69" s="11" t="s">
        <v>97</v>
      </c>
      <c r="L69" s="11" t="s">
        <v>715</v>
      </c>
      <c r="M69" s="11" t="s">
        <v>706</v>
      </c>
      <c r="N69" s="10" t="s">
        <v>112</v>
      </c>
      <c r="O69" s="10" t="s">
        <v>85</v>
      </c>
      <c r="P69" s="10" t="s">
        <v>73</v>
      </c>
      <c r="Q69" s="11" t="s">
        <v>752</v>
      </c>
      <c r="R69" s="11" t="s">
        <v>97</v>
      </c>
      <c r="S69" s="12" t="s">
        <v>760</v>
      </c>
      <c r="T69" s="11" t="s">
        <v>761</v>
      </c>
    </row>
    <row r="70" spans="1:20" ht="23" x14ac:dyDescent="0.35">
      <c r="A70" s="10" t="s">
        <v>762</v>
      </c>
      <c r="B70" s="11" t="s">
        <v>746</v>
      </c>
      <c r="C70" s="11" t="s">
        <v>324</v>
      </c>
      <c r="D70" s="11" t="s">
        <v>763</v>
      </c>
      <c r="E70" s="11" t="s">
        <v>764</v>
      </c>
      <c r="F70" s="11" t="s">
        <v>765</v>
      </c>
      <c r="G70" s="11" t="s">
        <v>766</v>
      </c>
      <c r="H70" s="11" t="s">
        <v>597</v>
      </c>
      <c r="I70" s="10" t="s">
        <v>72</v>
      </c>
      <c r="J70" s="11" t="s">
        <v>767</v>
      </c>
      <c r="K70" s="11" t="s">
        <v>97</v>
      </c>
      <c r="L70" s="11" t="s">
        <v>768</v>
      </c>
      <c r="M70" s="11" t="s">
        <v>706</v>
      </c>
      <c r="N70" s="10" t="s">
        <v>72</v>
      </c>
      <c r="O70" s="10" t="s">
        <v>85</v>
      </c>
      <c r="P70" s="10" t="s">
        <v>73</v>
      </c>
      <c r="Q70" s="11" t="s">
        <v>752</v>
      </c>
      <c r="R70" s="11" t="s">
        <v>97</v>
      </c>
      <c r="S70" s="12" t="s">
        <v>769</v>
      </c>
      <c r="T70" s="11" t="s">
        <v>754</v>
      </c>
    </row>
    <row r="71" spans="1:20" ht="23" x14ac:dyDescent="0.35">
      <c r="A71" s="10" t="s">
        <v>770</v>
      </c>
      <c r="B71" s="11" t="s">
        <v>746</v>
      </c>
      <c r="C71" s="11" t="s">
        <v>324</v>
      </c>
      <c r="D71" s="11" t="s">
        <v>771</v>
      </c>
      <c r="E71" s="11" t="s">
        <v>772</v>
      </c>
      <c r="F71" s="11" t="s">
        <v>773</v>
      </c>
      <c r="G71" s="11" t="s">
        <v>774</v>
      </c>
      <c r="H71" s="11" t="s">
        <v>467</v>
      </c>
      <c r="I71" s="10" t="s">
        <v>775</v>
      </c>
      <c r="J71" s="11" t="s">
        <v>776</v>
      </c>
      <c r="K71" s="11" t="s">
        <v>97</v>
      </c>
      <c r="L71" s="11" t="s">
        <v>715</v>
      </c>
      <c r="M71" s="11" t="s">
        <v>217</v>
      </c>
      <c r="N71" s="10" t="s">
        <v>181</v>
      </c>
      <c r="O71" s="10" t="s">
        <v>99</v>
      </c>
      <c r="P71" s="10" t="s">
        <v>73</v>
      </c>
      <c r="Q71" s="11" t="s">
        <v>752</v>
      </c>
      <c r="R71" s="11" t="s">
        <v>777</v>
      </c>
      <c r="S71" s="12" t="s">
        <v>778</v>
      </c>
      <c r="T71" s="11" t="s">
        <v>779</v>
      </c>
    </row>
    <row r="72" spans="1:20" ht="23" x14ac:dyDescent="0.35">
      <c r="A72" s="10" t="s">
        <v>780</v>
      </c>
      <c r="B72" s="11" t="s">
        <v>746</v>
      </c>
      <c r="C72" s="11" t="s">
        <v>324</v>
      </c>
      <c r="D72" s="11" t="s">
        <v>781</v>
      </c>
      <c r="E72" s="11" t="s">
        <v>772</v>
      </c>
      <c r="F72" s="11" t="s">
        <v>782</v>
      </c>
      <c r="G72" s="11" t="s">
        <v>783</v>
      </c>
      <c r="H72" s="11" t="s">
        <v>467</v>
      </c>
      <c r="I72" s="10" t="s">
        <v>784</v>
      </c>
      <c r="J72" s="11" t="s">
        <v>785</v>
      </c>
      <c r="K72" s="11" t="s">
        <v>97</v>
      </c>
      <c r="L72" s="11" t="s">
        <v>786</v>
      </c>
      <c r="M72" s="11" t="s">
        <v>217</v>
      </c>
      <c r="N72" s="10" t="s">
        <v>181</v>
      </c>
      <c r="O72" s="10" t="s">
        <v>85</v>
      </c>
      <c r="P72" s="10" t="s">
        <v>73</v>
      </c>
      <c r="Q72" s="11" t="s">
        <v>752</v>
      </c>
      <c r="R72" s="11" t="s">
        <v>97</v>
      </c>
      <c r="S72" s="12" t="s">
        <v>787</v>
      </c>
      <c r="T72" s="11" t="s">
        <v>788</v>
      </c>
    </row>
    <row r="73" spans="1:20" ht="23" x14ac:dyDescent="0.35">
      <c r="A73" s="10" t="s">
        <v>789</v>
      </c>
      <c r="B73" s="11" t="s">
        <v>746</v>
      </c>
      <c r="C73" s="11" t="s">
        <v>790</v>
      </c>
      <c r="D73" s="11" t="s">
        <v>791</v>
      </c>
      <c r="E73" s="11" t="s">
        <v>748</v>
      </c>
      <c r="F73" s="11" t="s">
        <v>792</v>
      </c>
      <c r="G73" s="11" t="s">
        <v>793</v>
      </c>
      <c r="H73" s="11" t="s">
        <v>794</v>
      </c>
      <c r="I73" s="10" t="s">
        <v>795</v>
      </c>
      <c r="J73" s="11" t="s">
        <v>796</v>
      </c>
      <c r="K73" s="11" t="s">
        <v>97</v>
      </c>
      <c r="L73" s="11" t="s">
        <v>797</v>
      </c>
      <c r="M73" s="11" t="s">
        <v>217</v>
      </c>
      <c r="N73" s="10" t="s">
        <v>618</v>
      </c>
      <c r="O73" s="10" t="s">
        <v>31</v>
      </c>
      <c r="P73" s="10" t="s">
        <v>73</v>
      </c>
      <c r="Q73" s="11" t="s">
        <v>798</v>
      </c>
      <c r="R73" s="11" t="s">
        <v>97</v>
      </c>
      <c r="S73" s="12" t="s">
        <v>799</v>
      </c>
      <c r="T73" s="11" t="s">
        <v>800</v>
      </c>
    </row>
    <row r="74" spans="1:20" ht="23" x14ac:dyDescent="0.35">
      <c r="A74" s="10" t="s">
        <v>801</v>
      </c>
      <c r="B74" s="11" t="s">
        <v>746</v>
      </c>
      <c r="C74" s="11" t="s">
        <v>790</v>
      </c>
      <c r="D74" s="11" t="s">
        <v>802</v>
      </c>
      <c r="E74" s="11" t="s">
        <v>803</v>
      </c>
      <c r="F74" s="11" t="s">
        <v>804</v>
      </c>
      <c r="G74" s="11" t="s">
        <v>805</v>
      </c>
      <c r="H74" s="11" t="s">
        <v>806</v>
      </c>
      <c r="I74" s="10" t="s">
        <v>807</v>
      </c>
      <c r="J74" s="11" t="s">
        <v>808</v>
      </c>
      <c r="K74" s="11" t="s">
        <v>97</v>
      </c>
      <c r="L74" s="11" t="s">
        <v>111</v>
      </c>
      <c r="M74" s="11" t="s">
        <v>217</v>
      </c>
      <c r="N74" s="10" t="s">
        <v>181</v>
      </c>
      <c r="O74" s="10" t="s">
        <v>99</v>
      </c>
      <c r="P74" s="10" t="s">
        <v>73</v>
      </c>
      <c r="Q74" s="11" t="s">
        <v>798</v>
      </c>
      <c r="R74" s="11" t="s">
        <v>97</v>
      </c>
      <c r="S74" s="12" t="s">
        <v>809</v>
      </c>
      <c r="T74" s="11" t="s">
        <v>810</v>
      </c>
    </row>
    <row r="75" spans="1:20" ht="23" x14ac:dyDescent="0.35">
      <c r="A75" s="10" t="s">
        <v>811</v>
      </c>
      <c r="B75" s="11" t="s">
        <v>746</v>
      </c>
      <c r="C75" s="11" t="s">
        <v>644</v>
      </c>
      <c r="D75" s="11" t="s">
        <v>812</v>
      </c>
      <c r="E75" s="11" t="s">
        <v>813</v>
      </c>
      <c r="F75" s="11" t="s">
        <v>814</v>
      </c>
      <c r="G75" s="11" t="s">
        <v>815</v>
      </c>
      <c r="H75" s="11" t="s">
        <v>816</v>
      </c>
      <c r="I75" s="10" t="s">
        <v>817</v>
      </c>
      <c r="J75" s="11" t="s">
        <v>818</v>
      </c>
      <c r="K75" s="11" t="s">
        <v>97</v>
      </c>
      <c r="L75" s="11" t="s">
        <v>819</v>
      </c>
      <c r="M75" s="11" t="s">
        <v>820</v>
      </c>
      <c r="N75" s="10" t="s">
        <v>817</v>
      </c>
      <c r="O75" s="10" t="s">
        <v>85</v>
      </c>
      <c r="P75" s="10" t="s">
        <v>73</v>
      </c>
      <c r="Q75" s="11" t="s">
        <v>821</v>
      </c>
      <c r="R75" s="11" t="s">
        <v>97</v>
      </c>
      <c r="S75" s="12" t="s">
        <v>822</v>
      </c>
      <c r="T75" s="11" t="s">
        <v>823</v>
      </c>
    </row>
    <row r="76" spans="1:20" ht="34.5" x14ac:dyDescent="0.35">
      <c r="A76" s="10" t="s">
        <v>824</v>
      </c>
      <c r="B76" s="11" t="s">
        <v>825</v>
      </c>
      <c r="C76" s="11" t="s">
        <v>324</v>
      </c>
      <c r="D76" s="11" t="s">
        <v>826</v>
      </c>
      <c r="E76" s="11" t="s">
        <v>827</v>
      </c>
      <c r="F76" s="11" t="s">
        <v>828</v>
      </c>
      <c r="G76" s="11" t="s">
        <v>829</v>
      </c>
      <c r="H76" s="11" t="s">
        <v>830</v>
      </c>
      <c r="I76" s="10" t="s">
        <v>95</v>
      </c>
      <c r="J76" s="11" t="s">
        <v>831</v>
      </c>
      <c r="K76" s="11" t="s">
        <v>97</v>
      </c>
      <c r="L76" s="11" t="s">
        <v>832</v>
      </c>
      <c r="M76" s="11" t="s">
        <v>833</v>
      </c>
      <c r="N76" s="10" t="s">
        <v>95</v>
      </c>
      <c r="O76" s="10" t="s">
        <v>85</v>
      </c>
      <c r="P76" s="10" t="s">
        <v>73</v>
      </c>
      <c r="Q76" s="11" t="s">
        <v>834</v>
      </c>
      <c r="R76" s="11" t="s">
        <v>97</v>
      </c>
      <c r="S76" s="12" t="s">
        <v>835</v>
      </c>
      <c r="T76" s="11" t="s">
        <v>836</v>
      </c>
    </row>
    <row r="77" spans="1:20" ht="34.5" x14ac:dyDescent="0.35">
      <c r="A77" s="10" t="s">
        <v>837</v>
      </c>
      <c r="B77" s="11" t="s">
        <v>825</v>
      </c>
      <c r="C77" s="11" t="s">
        <v>324</v>
      </c>
      <c r="D77" s="11" t="s">
        <v>838</v>
      </c>
      <c r="E77" s="11" t="s">
        <v>839</v>
      </c>
      <c r="F77" s="11" t="s">
        <v>840</v>
      </c>
      <c r="G77" s="11" t="s">
        <v>841</v>
      </c>
      <c r="H77" s="11" t="s">
        <v>842</v>
      </c>
      <c r="I77" s="10" t="s">
        <v>843</v>
      </c>
      <c r="J77" s="11" t="s">
        <v>428</v>
      </c>
      <c r="K77" s="11" t="s">
        <v>97</v>
      </c>
      <c r="L77" s="11" t="s">
        <v>844</v>
      </c>
      <c r="M77" s="11" t="s">
        <v>385</v>
      </c>
      <c r="N77" s="10" t="s">
        <v>72</v>
      </c>
      <c r="O77" s="10" t="s">
        <v>99</v>
      </c>
      <c r="P77" s="10" t="s">
        <v>73</v>
      </c>
      <c r="Q77" s="11" t="s">
        <v>834</v>
      </c>
      <c r="R77" s="11" t="s">
        <v>97</v>
      </c>
      <c r="S77" s="12" t="s">
        <v>845</v>
      </c>
      <c r="T77" s="11" t="s">
        <v>846</v>
      </c>
    </row>
    <row r="78" spans="1:20" ht="46" x14ac:dyDescent="0.35">
      <c r="A78" s="10" t="s">
        <v>847</v>
      </c>
      <c r="B78" s="11" t="s">
        <v>746</v>
      </c>
      <c r="C78" s="11" t="s">
        <v>848</v>
      </c>
      <c r="D78" s="11" t="s">
        <v>849</v>
      </c>
      <c r="E78" s="11" t="s">
        <v>850</v>
      </c>
      <c r="F78" s="11" t="s">
        <v>851</v>
      </c>
      <c r="G78" s="11" t="s">
        <v>852</v>
      </c>
      <c r="H78" s="11" t="s">
        <v>853</v>
      </c>
      <c r="I78" s="10" t="s">
        <v>181</v>
      </c>
      <c r="J78" s="11" t="s">
        <v>181</v>
      </c>
      <c r="K78" s="11" t="s">
        <v>854</v>
      </c>
      <c r="L78" s="11" t="s">
        <v>855</v>
      </c>
      <c r="M78" s="11" t="s">
        <v>181</v>
      </c>
      <c r="N78" s="10" t="s">
        <v>181</v>
      </c>
      <c r="O78" s="10" t="s">
        <v>99</v>
      </c>
      <c r="P78" s="10" t="s">
        <v>73</v>
      </c>
      <c r="Q78" s="11" t="s">
        <v>181</v>
      </c>
      <c r="R78" s="11" t="s">
        <v>856</v>
      </c>
      <c r="S78" s="12" t="s">
        <v>857</v>
      </c>
      <c r="T78" s="11" t="s">
        <v>858</v>
      </c>
    </row>
    <row r="79" spans="1:20" ht="34.5" x14ac:dyDescent="0.35">
      <c r="A79" s="10" t="s">
        <v>859</v>
      </c>
      <c r="B79" s="11" t="s">
        <v>860</v>
      </c>
      <c r="C79" s="11" t="s">
        <v>861</v>
      </c>
      <c r="D79" s="11" t="s">
        <v>862</v>
      </c>
      <c r="E79" s="11" t="s">
        <v>863</v>
      </c>
      <c r="F79" s="11" t="s">
        <v>864</v>
      </c>
      <c r="G79" s="11" t="s">
        <v>865</v>
      </c>
      <c r="H79" s="11" t="s">
        <v>866</v>
      </c>
      <c r="I79" s="10" t="s">
        <v>481</v>
      </c>
      <c r="J79" s="11" t="s">
        <v>867</v>
      </c>
      <c r="K79" s="11" t="s">
        <v>868</v>
      </c>
      <c r="L79" s="11" t="s">
        <v>869</v>
      </c>
      <c r="M79" s="11" t="s">
        <v>870</v>
      </c>
      <c r="N79" s="10" t="s">
        <v>481</v>
      </c>
      <c r="O79" s="10" t="s">
        <v>31</v>
      </c>
      <c r="P79" s="10" t="s">
        <v>73</v>
      </c>
      <c r="Q79" s="11" t="s">
        <v>871</v>
      </c>
      <c r="R79" s="11" t="s">
        <v>97</v>
      </c>
      <c r="S79" s="12" t="s">
        <v>872</v>
      </c>
      <c r="T79" s="11" t="s">
        <v>873</v>
      </c>
    </row>
    <row r="80" spans="1:20" ht="23" x14ac:dyDescent="0.35">
      <c r="A80" s="10" t="s">
        <v>874</v>
      </c>
      <c r="B80" s="11" t="s">
        <v>860</v>
      </c>
      <c r="C80" s="11" t="s">
        <v>861</v>
      </c>
      <c r="D80" s="11" t="s">
        <v>875</v>
      </c>
      <c r="E80" s="11" t="s">
        <v>863</v>
      </c>
      <c r="F80" s="11" t="s">
        <v>864</v>
      </c>
      <c r="G80" s="11" t="s">
        <v>876</v>
      </c>
      <c r="H80" s="11" t="s">
        <v>877</v>
      </c>
      <c r="I80" s="10" t="s">
        <v>580</v>
      </c>
      <c r="J80" s="11" t="s">
        <v>356</v>
      </c>
      <c r="K80" s="11" t="s">
        <v>97</v>
      </c>
      <c r="L80" s="11" t="s">
        <v>878</v>
      </c>
      <c r="M80" s="11" t="s">
        <v>879</v>
      </c>
      <c r="N80" s="10" t="s">
        <v>112</v>
      </c>
      <c r="O80" s="10" t="s">
        <v>31</v>
      </c>
      <c r="P80" s="10" t="s">
        <v>73</v>
      </c>
      <c r="Q80" s="11" t="s">
        <v>880</v>
      </c>
      <c r="R80" s="11" t="s">
        <v>97</v>
      </c>
      <c r="S80" s="12" t="s">
        <v>881</v>
      </c>
      <c r="T80" s="11" t="s">
        <v>882</v>
      </c>
    </row>
    <row r="81" spans="1:20" ht="34.5" x14ac:dyDescent="0.35">
      <c r="A81" s="10" t="s">
        <v>883</v>
      </c>
      <c r="B81" s="11" t="s">
        <v>860</v>
      </c>
      <c r="C81" s="11" t="s">
        <v>884</v>
      </c>
      <c r="D81" s="11" t="s">
        <v>885</v>
      </c>
      <c r="E81" s="11" t="s">
        <v>863</v>
      </c>
      <c r="F81" s="11" t="s">
        <v>864</v>
      </c>
      <c r="G81" s="11" t="s">
        <v>886</v>
      </c>
      <c r="H81" s="11" t="s">
        <v>887</v>
      </c>
      <c r="I81" s="10" t="s">
        <v>888</v>
      </c>
      <c r="J81" s="11" t="s">
        <v>889</v>
      </c>
      <c r="K81" s="11" t="s">
        <v>97</v>
      </c>
      <c r="L81" s="11" t="s">
        <v>890</v>
      </c>
      <c r="M81" s="11" t="s">
        <v>891</v>
      </c>
      <c r="N81" s="10" t="s">
        <v>72</v>
      </c>
      <c r="O81" s="10" t="s">
        <v>31</v>
      </c>
      <c r="P81" s="10" t="s">
        <v>73</v>
      </c>
      <c r="Q81" s="11" t="s">
        <v>892</v>
      </c>
      <c r="R81" s="11" t="s">
        <v>97</v>
      </c>
      <c r="S81" s="12" t="s">
        <v>893</v>
      </c>
      <c r="T81" s="11" t="s">
        <v>894</v>
      </c>
    </row>
    <row r="82" spans="1:20" ht="23" x14ac:dyDescent="0.35">
      <c r="A82" s="10" t="s">
        <v>895</v>
      </c>
      <c r="B82" s="11" t="s">
        <v>860</v>
      </c>
      <c r="C82" s="11" t="s">
        <v>896</v>
      </c>
      <c r="D82" s="11" t="s">
        <v>897</v>
      </c>
      <c r="E82" s="11" t="s">
        <v>898</v>
      </c>
      <c r="F82" s="11" t="s">
        <v>864</v>
      </c>
      <c r="G82" s="11" t="s">
        <v>899</v>
      </c>
      <c r="H82" s="11" t="s">
        <v>900</v>
      </c>
      <c r="I82" s="10" t="s">
        <v>618</v>
      </c>
      <c r="J82" s="11" t="s">
        <v>607</v>
      </c>
      <c r="K82" s="11" t="s">
        <v>97</v>
      </c>
      <c r="L82" s="11" t="s">
        <v>901</v>
      </c>
      <c r="M82" s="11" t="s">
        <v>902</v>
      </c>
      <c r="N82" s="10" t="s">
        <v>618</v>
      </c>
      <c r="O82" s="10" t="s">
        <v>85</v>
      </c>
      <c r="P82" s="10" t="s">
        <v>73</v>
      </c>
      <c r="Q82" s="11" t="s">
        <v>903</v>
      </c>
      <c r="R82" s="11" t="s">
        <v>97</v>
      </c>
      <c r="S82" s="12" t="s">
        <v>904</v>
      </c>
      <c r="T82" s="11" t="s">
        <v>905</v>
      </c>
    </row>
    <row r="83" spans="1:20" ht="34.5" x14ac:dyDescent="0.35">
      <c r="A83" s="10" t="s">
        <v>906</v>
      </c>
      <c r="B83" s="11" t="s">
        <v>860</v>
      </c>
      <c r="C83" s="11" t="s">
        <v>61</v>
      </c>
      <c r="D83" s="11" t="s">
        <v>907</v>
      </c>
      <c r="E83" s="11" t="s">
        <v>908</v>
      </c>
      <c r="F83" s="11" t="s">
        <v>909</v>
      </c>
      <c r="G83" s="11" t="s">
        <v>910</v>
      </c>
      <c r="H83" s="11" t="s">
        <v>911</v>
      </c>
      <c r="I83" s="10" t="s">
        <v>72</v>
      </c>
      <c r="J83" s="11" t="s">
        <v>912</v>
      </c>
      <c r="K83" s="11" t="s">
        <v>97</v>
      </c>
      <c r="L83" s="11" t="s">
        <v>913</v>
      </c>
      <c r="M83" s="11" t="s">
        <v>914</v>
      </c>
      <c r="N83" s="10" t="s">
        <v>72</v>
      </c>
      <c r="O83" s="10" t="s">
        <v>31</v>
      </c>
      <c r="P83" s="10" t="s">
        <v>73</v>
      </c>
      <c r="Q83" s="11" t="s">
        <v>915</v>
      </c>
      <c r="R83" s="11" t="s">
        <v>97</v>
      </c>
      <c r="S83" s="12" t="s">
        <v>916</v>
      </c>
      <c r="T83" s="11" t="s">
        <v>917</v>
      </c>
    </row>
    <row r="84" spans="1:20" ht="34.5" x14ac:dyDescent="0.35">
      <c r="A84" s="10" t="s">
        <v>918</v>
      </c>
      <c r="B84" s="11" t="s">
        <v>860</v>
      </c>
      <c r="C84" s="11" t="s">
        <v>324</v>
      </c>
      <c r="D84" s="11" t="s">
        <v>919</v>
      </c>
      <c r="E84" s="11" t="s">
        <v>920</v>
      </c>
      <c r="F84" s="11" t="s">
        <v>921</v>
      </c>
      <c r="G84" s="11" t="s">
        <v>922</v>
      </c>
      <c r="H84" s="11" t="s">
        <v>477</v>
      </c>
      <c r="I84" s="10" t="s">
        <v>72</v>
      </c>
      <c r="J84" s="11" t="s">
        <v>923</v>
      </c>
      <c r="K84" s="11" t="s">
        <v>97</v>
      </c>
      <c r="L84" s="11" t="s">
        <v>878</v>
      </c>
      <c r="M84" s="11" t="s">
        <v>924</v>
      </c>
      <c r="N84" s="10" t="s">
        <v>72</v>
      </c>
      <c r="O84" s="10" t="s">
        <v>85</v>
      </c>
      <c r="P84" s="10" t="s">
        <v>73</v>
      </c>
      <c r="Q84" s="11" t="s">
        <v>880</v>
      </c>
      <c r="R84" s="11" t="s">
        <v>97</v>
      </c>
      <c r="S84" s="12" t="s">
        <v>925</v>
      </c>
      <c r="T84" s="11" t="s">
        <v>926</v>
      </c>
    </row>
    <row r="85" spans="1:20" ht="46" x14ac:dyDescent="0.35">
      <c r="A85" s="10" t="s">
        <v>927</v>
      </c>
      <c r="B85" s="11" t="s">
        <v>860</v>
      </c>
      <c r="C85" s="11" t="s">
        <v>928</v>
      </c>
      <c r="D85" s="11" t="s">
        <v>929</v>
      </c>
      <c r="E85" s="11" t="s">
        <v>930</v>
      </c>
      <c r="F85" s="11" t="s">
        <v>909</v>
      </c>
      <c r="G85" s="11" t="s">
        <v>931</v>
      </c>
      <c r="H85" s="11" t="s">
        <v>932</v>
      </c>
      <c r="I85" s="10" t="s">
        <v>933</v>
      </c>
      <c r="J85" s="11" t="s">
        <v>934</v>
      </c>
      <c r="K85" s="11" t="s">
        <v>935</v>
      </c>
      <c r="L85" s="11" t="s">
        <v>936</v>
      </c>
      <c r="M85" s="11" t="s">
        <v>937</v>
      </c>
      <c r="N85" s="10" t="s">
        <v>72</v>
      </c>
      <c r="O85" s="10" t="s">
        <v>85</v>
      </c>
      <c r="P85" s="10" t="s">
        <v>73</v>
      </c>
      <c r="Q85" s="11" t="s">
        <v>938</v>
      </c>
      <c r="R85" s="11" t="s">
        <v>939</v>
      </c>
      <c r="S85" s="12" t="s">
        <v>940</v>
      </c>
      <c r="T85" s="11" t="s">
        <v>941</v>
      </c>
    </row>
    <row r="86" spans="1:20" ht="23" x14ac:dyDescent="0.35">
      <c r="A86" s="10" t="s">
        <v>942</v>
      </c>
      <c r="B86" s="11" t="s">
        <v>860</v>
      </c>
      <c r="C86" s="11" t="s">
        <v>943</v>
      </c>
      <c r="D86" s="11" t="s">
        <v>944</v>
      </c>
      <c r="E86" s="11" t="s">
        <v>945</v>
      </c>
      <c r="F86" s="11" t="s">
        <v>946</v>
      </c>
      <c r="G86" s="11" t="s">
        <v>947</v>
      </c>
      <c r="H86" s="11" t="s">
        <v>948</v>
      </c>
      <c r="I86" s="10" t="s">
        <v>180</v>
      </c>
      <c r="J86" s="11" t="s">
        <v>181</v>
      </c>
      <c r="K86" s="11" t="s">
        <v>949</v>
      </c>
      <c r="L86" s="11" t="s">
        <v>950</v>
      </c>
      <c r="M86" s="11" t="s">
        <v>951</v>
      </c>
      <c r="N86" s="10" t="s">
        <v>95</v>
      </c>
      <c r="O86" s="10" t="s">
        <v>99</v>
      </c>
      <c r="P86" s="10" t="s">
        <v>73</v>
      </c>
      <c r="Q86" s="11" t="s">
        <v>952</v>
      </c>
      <c r="R86" s="11" t="s">
        <v>97</v>
      </c>
      <c r="S86" s="12" t="s">
        <v>953</v>
      </c>
      <c r="T86" s="11" t="s">
        <v>954</v>
      </c>
    </row>
    <row r="87" spans="1:20" ht="34.5" x14ac:dyDescent="0.35">
      <c r="A87" s="10" t="s">
        <v>955</v>
      </c>
      <c r="B87" s="11" t="s">
        <v>860</v>
      </c>
      <c r="C87" s="11" t="s">
        <v>365</v>
      </c>
      <c r="D87" s="11" t="s">
        <v>956</v>
      </c>
      <c r="E87" s="11" t="s">
        <v>957</v>
      </c>
      <c r="F87" s="11" t="s">
        <v>909</v>
      </c>
      <c r="G87" s="11" t="s">
        <v>958</v>
      </c>
      <c r="H87" s="11" t="s">
        <v>959</v>
      </c>
      <c r="I87" s="10" t="s">
        <v>355</v>
      </c>
      <c r="J87" s="11" t="s">
        <v>960</v>
      </c>
      <c r="K87" s="11" t="s">
        <v>97</v>
      </c>
      <c r="L87" s="11" t="s">
        <v>961</v>
      </c>
      <c r="M87" s="11" t="s">
        <v>962</v>
      </c>
      <c r="N87" s="10" t="s">
        <v>963</v>
      </c>
      <c r="O87" s="10" t="s">
        <v>31</v>
      </c>
      <c r="P87" s="10" t="s">
        <v>73</v>
      </c>
      <c r="Q87" s="11" t="s">
        <v>964</v>
      </c>
      <c r="R87" s="11" t="s">
        <v>97</v>
      </c>
      <c r="S87" s="12" t="s">
        <v>965</v>
      </c>
      <c r="T87" s="11" t="s">
        <v>966</v>
      </c>
    </row>
    <row r="88" spans="1:20" ht="34.5" x14ac:dyDescent="0.35">
      <c r="A88" s="10" t="s">
        <v>967</v>
      </c>
      <c r="B88" s="11" t="s">
        <v>860</v>
      </c>
      <c r="C88" s="11" t="s">
        <v>968</v>
      </c>
      <c r="D88" s="11" t="s">
        <v>969</v>
      </c>
      <c r="E88" s="11" t="s">
        <v>970</v>
      </c>
      <c r="F88" s="11" t="s">
        <v>909</v>
      </c>
      <c r="G88" s="11" t="s">
        <v>971</v>
      </c>
      <c r="H88" s="11" t="s">
        <v>972</v>
      </c>
      <c r="I88" s="10" t="s">
        <v>973</v>
      </c>
      <c r="J88" s="11" t="s">
        <v>504</v>
      </c>
      <c r="K88" s="11" t="s">
        <v>97</v>
      </c>
      <c r="L88" s="11" t="s">
        <v>974</v>
      </c>
      <c r="M88" s="11" t="s">
        <v>975</v>
      </c>
      <c r="N88" s="10" t="s">
        <v>976</v>
      </c>
      <c r="O88" s="10" t="s">
        <v>31</v>
      </c>
      <c r="P88" s="10" t="s">
        <v>73</v>
      </c>
      <c r="Q88" s="11" t="s">
        <v>977</v>
      </c>
      <c r="R88" s="11" t="s">
        <v>553</v>
      </c>
      <c r="S88" s="12" t="s">
        <v>978</v>
      </c>
      <c r="T88" s="11" t="s">
        <v>979</v>
      </c>
    </row>
    <row r="89" spans="1:20" ht="23" x14ac:dyDescent="0.35">
      <c r="A89" s="10" t="s">
        <v>980</v>
      </c>
      <c r="B89" s="11" t="s">
        <v>860</v>
      </c>
      <c r="C89" s="11" t="s">
        <v>324</v>
      </c>
      <c r="D89" s="11" t="s">
        <v>981</v>
      </c>
      <c r="E89" s="11" t="s">
        <v>982</v>
      </c>
      <c r="F89" s="11" t="s">
        <v>909</v>
      </c>
      <c r="G89" s="11" t="s">
        <v>983</v>
      </c>
      <c r="H89" s="11" t="s">
        <v>984</v>
      </c>
      <c r="I89" s="10" t="s">
        <v>112</v>
      </c>
      <c r="J89" s="11" t="s">
        <v>985</v>
      </c>
      <c r="K89" s="11" t="s">
        <v>97</v>
      </c>
      <c r="L89" s="11" t="s">
        <v>418</v>
      </c>
      <c r="M89" s="11" t="s">
        <v>986</v>
      </c>
      <c r="N89" s="10" t="s">
        <v>112</v>
      </c>
      <c r="O89" s="10" t="s">
        <v>31</v>
      </c>
      <c r="P89" s="10" t="s">
        <v>73</v>
      </c>
      <c r="Q89" s="11" t="s">
        <v>407</v>
      </c>
      <c r="R89" s="11" t="s">
        <v>987</v>
      </c>
      <c r="S89" s="12" t="s">
        <v>978</v>
      </c>
      <c r="T89" s="11" t="s">
        <v>988</v>
      </c>
    </row>
    <row r="90" spans="1:20" ht="23" x14ac:dyDescent="0.35">
      <c r="A90" s="10" t="s">
        <v>989</v>
      </c>
      <c r="B90" s="11" t="s">
        <v>860</v>
      </c>
      <c r="C90" s="11" t="s">
        <v>324</v>
      </c>
      <c r="D90" s="11" t="s">
        <v>990</v>
      </c>
      <c r="E90" s="11" t="s">
        <v>991</v>
      </c>
      <c r="F90" s="11" t="s">
        <v>992</v>
      </c>
      <c r="G90" s="11" t="s">
        <v>993</v>
      </c>
      <c r="H90" s="11" t="s">
        <v>994</v>
      </c>
      <c r="I90" s="10" t="s">
        <v>112</v>
      </c>
      <c r="J90" s="11" t="s">
        <v>82</v>
      </c>
      <c r="K90" s="11" t="s">
        <v>97</v>
      </c>
      <c r="L90" s="11" t="s">
        <v>995</v>
      </c>
      <c r="M90" s="11" t="s">
        <v>879</v>
      </c>
      <c r="N90" s="10" t="s">
        <v>112</v>
      </c>
      <c r="O90" s="10" t="s">
        <v>85</v>
      </c>
      <c r="P90" s="10" t="s">
        <v>73</v>
      </c>
      <c r="Q90" s="11" t="s">
        <v>880</v>
      </c>
      <c r="R90" s="11" t="s">
        <v>97</v>
      </c>
      <c r="S90" s="12" t="s">
        <v>996</v>
      </c>
      <c r="T90" s="11" t="s">
        <v>997</v>
      </c>
    </row>
    <row r="91" spans="1:20" ht="23" x14ac:dyDescent="0.35">
      <c r="A91" s="10" t="s">
        <v>998</v>
      </c>
      <c r="B91" s="11" t="s">
        <v>860</v>
      </c>
      <c r="C91" s="11" t="s">
        <v>324</v>
      </c>
      <c r="D91" s="11" t="s">
        <v>999</v>
      </c>
      <c r="E91" s="11" t="s">
        <v>1000</v>
      </c>
      <c r="F91" s="11" t="s">
        <v>1001</v>
      </c>
      <c r="G91" s="11" t="s">
        <v>1002</v>
      </c>
      <c r="H91" s="11" t="s">
        <v>1003</v>
      </c>
      <c r="I91" s="10" t="s">
        <v>1004</v>
      </c>
      <c r="J91" s="11" t="s">
        <v>607</v>
      </c>
      <c r="K91" s="11" t="s">
        <v>97</v>
      </c>
      <c r="L91" s="11" t="s">
        <v>1005</v>
      </c>
      <c r="M91" s="11" t="s">
        <v>706</v>
      </c>
      <c r="N91" s="10" t="s">
        <v>112</v>
      </c>
      <c r="O91" s="10" t="s">
        <v>99</v>
      </c>
      <c r="P91" s="10" t="s">
        <v>73</v>
      </c>
      <c r="Q91" s="11" t="s">
        <v>880</v>
      </c>
      <c r="R91" s="11" t="s">
        <v>97</v>
      </c>
      <c r="S91" s="12" t="s">
        <v>1006</v>
      </c>
      <c r="T91" s="11" t="s">
        <v>1007</v>
      </c>
    </row>
    <row r="92" spans="1:20" ht="23" x14ac:dyDescent="0.35">
      <c r="A92" s="10" t="s">
        <v>1008</v>
      </c>
      <c r="B92" s="11" t="s">
        <v>860</v>
      </c>
      <c r="C92" s="11" t="s">
        <v>116</v>
      </c>
      <c r="D92" s="11" t="s">
        <v>1009</v>
      </c>
      <c r="E92" s="11" t="s">
        <v>1010</v>
      </c>
      <c r="F92" s="11" t="s">
        <v>1011</v>
      </c>
      <c r="G92" s="11" t="s">
        <v>1012</v>
      </c>
      <c r="H92" s="11" t="s">
        <v>1013</v>
      </c>
      <c r="I92" s="10" t="s">
        <v>72</v>
      </c>
      <c r="J92" s="11" t="s">
        <v>1014</v>
      </c>
      <c r="K92" s="11" t="s">
        <v>97</v>
      </c>
      <c r="L92" s="11" t="s">
        <v>358</v>
      </c>
      <c r="M92" s="11" t="s">
        <v>706</v>
      </c>
      <c r="N92" s="10" t="s">
        <v>72</v>
      </c>
      <c r="O92" s="10" t="s">
        <v>85</v>
      </c>
      <c r="P92" s="10" t="s">
        <v>73</v>
      </c>
      <c r="Q92" s="11" t="s">
        <v>125</v>
      </c>
      <c r="R92" s="11" t="s">
        <v>97</v>
      </c>
      <c r="S92" s="12" t="s">
        <v>1015</v>
      </c>
      <c r="T92" s="11" t="s">
        <v>1016</v>
      </c>
    </row>
    <row r="93" spans="1:20" ht="23" x14ac:dyDescent="0.35">
      <c r="A93" s="10" t="s">
        <v>1017</v>
      </c>
      <c r="B93" s="11" t="s">
        <v>860</v>
      </c>
      <c r="C93" s="11" t="s">
        <v>861</v>
      </c>
      <c r="D93" s="11" t="s">
        <v>1018</v>
      </c>
      <c r="E93" s="11" t="s">
        <v>1010</v>
      </c>
      <c r="F93" s="11" t="s">
        <v>1019</v>
      </c>
      <c r="G93" s="11" t="s">
        <v>1020</v>
      </c>
      <c r="H93" s="11" t="s">
        <v>1021</v>
      </c>
      <c r="I93" s="10" t="s">
        <v>1022</v>
      </c>
      <c r="J93" s="11" t="s">
        <v>1023</v>
      </c>
      <c r="K93" s="11" t="s">
        <v>97</v>
      </c>
      <c r="L93" s="11" t="s">
        <v>878</v>
      </c>
      <c r="M93" s="11" t="s">
        <v>1024</v>
      </c>
      <c r="N93" s="10" t="s">
        <v>112</v>
      </c>
      <c r="O93" s="10" t="s">
        <v>85</v>
      </c>
      <c r="P93" s="10" t="s">
        <v>73</v>
      </c>
      <c r="Q93" s="11" t="s">
        <v>880</v>
      </c>
      <c r="R93" s="11" t="s">
        <v>97</v>
      </c>
      <c r="S93" s="12" t="s">
        <v>1025</v>
      </c>
      <c r="T93" s="11" t="s">
        <v>1026</v>
      </c>
    </row>
    <row r="94" spans="1:20" ht="23" x14ac:dyDescent="0.35">
      <c r="A94" s="10" t="s">
        <v>1027</v>
      </c>
      <c r="B94" s="11" t="s">
        <v>860</v>
      </c>
      <c r="C94" s="11" t="s">
        <v>324</v>
      </c>
      <c r="D94" s="11" t="s">
        <v>1028</v>
      </c>
      <c r="E94" s="11" t="s">
        <v>1029</v>
      </c>
      <c r="F94" s="11" t="s">
        <v>1030</v>
      </c>
      <c r="G94" s="11" t="s">
        <v>1031</v>
      </c>
      <c r="H94" s="11" t="s">
        <v>1032</v>
      </c>
      <c r="I94" s="10" t="s">
        <v>1033</v>
      </c>
      <c r="J94" s="11" t="s">
        <v>590</v>
      </c>
      <c r="K94" s="11" t="s">
        <v>97</v>
      </c>
      <c r="L94" s="11" t="s">
        <v>878</v>
      </c>
      <c r="M94" s="11" t="s">
        <v>217</v>
      </c>
      <c r="N94" s="10" t="s">
        <v>112</v>
      </c>
      <c r="O94" s="10" t="s">
        <v>99</v>
      </c>
      <c r="P94" s="10" t="s">
        <v>73</v>
      </c>
      <c r="Q94" s="11" t="s">
        <v>880</v>
      </c>
      <c r="R94" s="11" t="s">
        <v>420</v>
      </c>
      <c r="S94" s="12" t="s">
        <v>978</v>
      </c>
      <c r="T94" s="11" t="s">
        <v>1034</v>
      </c>
    </row>
    <row r="95" spans="1:20" ht="23" x14ac:dyDescent="0.35">
      <c r="A95" s="10" t="s">
        <v>1035</v>
      </c>
      <c r="B95" s="11" t="s">
        <v>860</v>
      </c>
      <c r="C95" s="11" t="s">
        <v>324</v>
      </c>
      <c r="D95" s="11" t="s">
        <v>1036</v>
      </c>
      <c r="E95" s="11" t="s">
        <v>1037</v>
      </c>
      <c r="F95" s="11" t="s">
        <v>1038</v>
      </c>
      <c r="G95" s="11" t="s">
        <v>1039</v>
      </c>
      <c r="H95" s="11" t="s">
        <v>1040</v>
      </c>
      <c r="I95" s="10" t="s">
        <v>112</v>
      </c>
      <c r="J95" s="11" t="s">
        <v>356</v>
      </c>
      <c r="K95" s="11" t="s">
        <v>97</v>
      </c>
      <c r="L95" s="11" t="s">
        <v>878</v>
      </c>
      <c r="M95" s="11" t="s">
        <v>1024</v>
      </c>
      <c r="N95" s="10" t="s">
        <v>112</v>
      </c>
      <c r="O95" s="10" t="s">
        <v>99</v>
      </c>
      <c r="P95" s="10" t="s">
        <v>73</v>
      </c>
      <c r="Q95" s="11" t="s">
        <v>892</v>
      </c>
      <c r="R95" s="11" t="s">
        <v>97</v>
      </c>
      <c r="S95" s="12" t="s">
        <v>1041</v>
      </c>
      <c r="T95" s="11" t="s">
        <v>1042</v>
      </c>
    </row>
    <row r="96" spans="1:20" ht="23" x14ac:dyDescent="0.35">
      <c r="A96" s="10" t="s">
        <v>1043</v>
      </c>
      <c r="B96" s="11" t="s">
        <v>860</v>
      </c>
      <c r="C96" s="11" t="s">
        <v>1044</v>
      </c>
      <c r="D96" s="11" t="s">
        <v>1045</v>
      </c>
      <c r="E96" s="11" t="s">
        <v>1046</v>
      </c>
      <c r="F96" s="11" t="s">
        <v>1047</v>
      </c>
      <c r="G96" s="11" t="s">
        <v>1048</v>
      </c>
      <c r="H96" s="11" t="s">
        <v>1049</v>
      </c>
      <c r="I96" s="10" t="s">
        <v>72</v>
      </c>
      <c r="J96" s="11" t="s">
        <v>1050</v>
      </c>
      <c r="K96" s="11" t="s">
        <v>1051</v>
      </c>
      <c r="L96" s="11" t="s">
        <v>418</v>
      </c>
      <c r="M96" s="11" t="s">
        <v>1052</v>
      </c>
      <c r="N96" s="10" t="s">
        <v>72</v>
      </c>
      <c r="O96" s="10" t="s">
        <v>31</v>
      </c>
      <c r="P96" s="10" t="s">
        <v>73</v>
      </c>
      <c r="Q96" s="11" t="s">
        <v>880</v>
      </c>
      <c r="R96" s="11" t="s">
        <v>1053</v>
      </c>
      <c r="S96" s="12" t="s">
        <v>1054</v>
      </c>
      <c r="T96" s="11" t="s">
        <v>1055</v>
      </c>
    </row>
    <row r="97" spans="1:20" ht="34.5" x14ac:dyDescent="0.35">
      <c r="A97" s="10" t="s">
        <v>1056</v>
      </c>
      <c r="B97" s="11" t="s">
        <v>860</v>
      </c>
      <c r="C97" s="11" t="s">
        <v>1044</v>
      </c>
      <c r="D97" s="11" t="s">
        <v>1057</v>
      </c>
      <c r="E97" s="11" t="s">
        <v>1058</v>
      </c>
      <c r="F97" s="11" t="s">
        <v>992</v>
      </c>
      <c r="G97" s="11" t="s">
        <v>1059</v>
      </c>
      <c r="H97" s="11" t="s">
        <v>1060</v>
      </c>
      <c r="I97" s="10" t="s">
        <v>1061</v>
      </c>
      <c r="J97" s="11" t="s">
        <v>1062</v>
      </c>
      <c r="K97" s="11" t="s">
        <v>1051</v>
      </c>
      <c r="L97" s="11" t="s">
        <v>418</v>
      </c>
      <c r="M97" s="11" t="s">
        <v>1052</v>
      </c>
      <c r="N97" s="10" t="s">
        <v>72</v>
      </c>
      <c r="O97" s="10" t="s">
        <v>31</v>
      </c>
      <c r="P97" s="10" t="s">
        <v>73</v>
      </c>
      <c r="Q97" s="11" t="s">
        <v>880</v>
      </c>
      <c r="R97" s="11" t="s">
        <v>420</v>
      </c>
      <c r="S97" s="12" t="s">
        <v>1063</v>
      </c>
      <c r="T97" s="11" t="s">
        <v>1064</v>
      </c>
    </row>
    <row r="98" spans="1:20" ht="34.5" x14ac:dyDescent="0.35">
      <c r="A98" s="10" t="s">
        <v>1065</v>
      </c>
      <c r="B98" s="11" t="s">
        <v>860</v>
      </c>
      <c r="C98" s="11" t="s">
        <v>1044</v>
      </c>
      <c r="D98" s="11" t="s">
        <v>1066</v>
      </c>
      <c r="E98" s="11" t="s">
        <v>1067</v>
      </c>
      <c r="F98" s="11" t="s">
        <v>1068</v>
      </c>
      <c r="G98" s="11" t="s">
        <v>1069</v>
      </c>
      <c r="H98" s="11" t="s">
        <v>1070</v>
      </c>
      <c r="I98" s="10" t="s">
        <v>1071</v>
      </c>
      <c r="J98" s="11" t="s">
        <v>1072</v>
      </c>
      <c r="K98" s="11" t="s">
        <v>1051</v>
      </c>
      <c r="L98" s="11" t="s">
        <v>418</v>
      </c>
      <c r="M98" s="11" t="s">
        <v>1052</v>
      </c>
      <c r="N98" s="10" t="s">
        <v>72</v>
      </c>
      <c r="O98" s="10" t="s">
        <v>31</v>
      </c>
      <c r="P98" s="10" t="s">
        <v>73</v>
      </c>
      <c r="Q98" s="11" t="s">
        <v>1073</v>
      </c>
      <c r="R98" s="11" t="s">
        <v>420</v>
      </c>
      <c r="S98" s="12" t="s">
        <v>1074</v>
      </c>
      <c r="T98" s="11" t="s">
        <v>1075</v>
      </c>
    </row>
    <row r="99" spans="1:20" ht="34.5" x14ac:dyDescent="0.35">
      <c r="A99" s="10" t="s">
        <v>1076</v>
      </c>
      <c r="B99" s="11" t="s">
        <v>860</v>
      </c>
      <c r="C99" s="11" t="s">
        <v>1077</v>
      </c>
      <c r="D99" s="11" t="s">
        <v>1078</v>
      </c>
      <c r="E99" s="11" t="s">
        <v>1079</v>
      </c>
      <c r="F99" s="11" t="s">
        <v>1080</v>
      </c>
      <c r="G99" s="11" t="s">
        <v>1081</v>
      </c>
      <c r="H99" s="11" t="s">
        <v>1082</v>
      </c>
      <c r="I99" s="10" t="s">
        <v>1083</v>
      </c>
      <c r="J99" s="11" t="s">
        <v>96</v>
      </c>
      <c r="K99" s="11" t="s">
        <v>1051</v>
      </c>
      <c r="L99" s="11" t="s">
        <v>418</v>
      </c>
      <c r="M99" s="11" t="s">
        <v>1084</v>
      </c>
      <c r="N99" s="10" t="s">
        <v>72</v>
      </c>
      <c r="O99" s="10" t="s">
        <v>31</v>
      </c>
      <c r="P99" s="10" t="s">
        <v>73</v>
      </c>
      <c r="Q99" s="11" t="s">
        <v>892</v>
      </c>
      <c r="R99" s="11" t="s">
        <v>420</v>
      </c>
      <c r="S99" s="12" t="s">
        <v>1085</v>
      </c>
      <c r="T99" s="11" t="s">
        <v>1086</v>
      </c>
    </row>
    <row r="100" spans="1:20" ht="23" x14ac:dyDescent="0.35">
      <c r="A100" s="10" t="s">
        <v>1087</v>
      </c>
      <c r="B100" s="11" t="s">
        <v>860</v>
      </c>
      <c r="C100" s="11" t="s">
        <v>1077</v>
      </c>
      <c r="D100" s="11" t="s">
        <v>1088</v>
      </c>
      <c r="E100" s="11" t="s">
        <v>1089</v>
      </c>
      <c r="F100" s="11" t="s">
        <v>1080</v>
      </c>
      <c r="G100" s="11" t="s">
        <v>1090</v>
      </c>
      <c r="H100" s="11" t="s">
        <v>1040</v>
      </c>
      <c r="I100" s="10" t="s">
        <v>1091</v>
      </c>
      <c r="J100" s="11" t="s">
        <v>1023</v>
      </c>
      <c r="K100" s="11" t="s">
        <v>1092</v>
      </c>
      <c r="L100" s="11" t="s">
        <v>418</v>
      </c>
      <c r="M100" s="11" t="s">
        <v>1024</v>
      </c>
      <c r="N100" s="10" t="s">
        <v>112</v>
      </c>
      <c r="O100" s="10" t="s">
        <v>85</v>
      </c>
      <c r="P100" s="10" t="s">
        <v>73</v>
      </c>
      <c r="Q100" s="11" t="s">
        <v>892</v>
      </c>
      <c r="R100" s="11" t="s">
        <v>420</v>
      </c>
      <c r="S100" s="12" t="s">
        <v>1093</v>
      </c>
      <c r="T100" s="11" t="s">
        <v>1094</v>
      </c>
    </row>
    <row r="101" spans="1:20" ht="23" x14ac:dyDescent="0.35">
      <c r="A101" s="10" t="s">
        <v>1095</v>
      </c>
      <c r="B101" s="11" t="s">
        <v>860</v>
      </c>
      <c r="C101" s="11" t="s">
        <v>1077</v>
      </c>
      <c r="D101" s="11" t="s">
        <v>1096</v>
      </c>
      <c r="E101" s="11" t="s">
        <v>1097</v>
      </c>
      <c r="F101" s="11" t="s">
        <v>1080</v>
      </c>
      <c r="G101" s="11" t="s">
        <v>1098</v>
      </c>
      <c r="H101" s="11" t="s">
        <v>1060</v>
      </c>
      <c r="I101" s="10" t="s">
        <v>1099</v>
      </c>
      <c r="J101" s="11" t="s">
        <v>590</v>
      </c>
      <c r="K101" s="11" t="s">
        <v>1051</v>
      </c>
      <c r="L101" s="11" t="s">
        <v>418</v>
      </c>
      <c r="M101" s="11" t="s">
        <v>1052</v>
      </c>
      <c r="N101" s="10" t="s">
        <v>72</v>
      </c>
      <c r="O101" s="10" t="s">
        <v>85</v>
      </c>
      <c r="P101" s="10" t="s">
        <v>73</v>
      </c>
      <c r="Q101" s="11" t="s">
        <v>880</v>
      </c>
      <c r="R101" s="11" t="s">
        <v>420</v>
      </c>
      <c r="S101" s="12" t="s">
        <v>1100</v>
      </c>
      <c r="T101" s="11" t="s">
        <v>1101</v>
      </c>
    </row>
    <row r="102" spans="1:20" ht="23" x14ac:dyDescent="0.35">
      <c r="A102" s="10" t="s">
        <v>1102</v>
      </c>
      <c r="B102" s="11" t="s">
        <v>860</v>
      </c>
      <c r="C102" s="11" t="s">
        <v>1077</v>
      </c>
      <c r="D102" s="11" t="s">
        <v>1103</v>
      </c>
      <c r="E102" s="11" t="s">
        <v>1104</v>
      </c>
      <c r="F102" s="11" t="s">
        <v>1105</v>
      </c>
      <c r="G102" s="11" t="s">
        <v>1106</v>
      </c>
      <c r="H102" s="11" t="s">
        <v>1060</v>
      </c>
      <c r="I102" s="10" t="s">
        <v>72</v>
      </c>
      <c r="J102" s="11" t="s">
        <v>1107</v>
      </c>
      <c r="K102" s="11" t="s">
        <v>1051</v>
      </c>
      <c r="L102" s="11" t="s">
        <v>418</v>
      </c>
      <c r="M102" s="11" t="s">
        <v>1052</v>
      </c>
      <c r="N102" s="10" t="s">
        <v>72</v>
      </c>
      <c r="O102" s="10" t="s">
        <v>85</v>
      </c>
      <c r="P102" s="10" t="s">
        <v>73</v>
      </c>
      <c r="Q102" s="11" t="s">
        <v>880</v>
      </c>
      <c r="R102" s="11" t="s">
        <v>420</v>
      </c>
      <c r="S102" s="12" t="s">
        <v>1108</v>
      </c>
      <c r="T102" s="11" t="s">
        <v>1109</v>
      </c>
    </row>
    <row r="103" spans="1:20" ht="23" x14ac:dyDescent="0.35">
      <c r="A103" s="10" t="s">
        <v>1110</v>
      </c>
      <c r="B103" s="11" t="s">
        <v>860</v>
      </c>
      <c r="C103" s="11" t="s">
        <v>861</v>
      </c>
      <c r="D103" s="11" t="s">
        <v>1111</v>
      </c>
      <c r="E103" s="11" t="s">
        <v>1112</v>
      </c>
      <c r="F103" s="11" t="s">
        <v>1113</v>
      </c>
      <c r="G103" s="11" t="s">
        <v>1114</v>
      </c>
      <c r="H103" s="11" t="s">
        <v>1040</v>
      </c>
      <c r="I103" s="10" t="s">
        <v>1115</v>
      </c>
      <c r="J103" s="11" t="s">
        <v>1116</v>
      </c>
      <c r="K103" s="11" t="s">
        <v>97</v>
      </c>
      <c r="L103" s="11" t="s">
        <v>418</v>
      </c>
      <c r="M103" s="11" t="s">
        <v>1024</v>
      </c>
      <c r="N103" s="10" t="s">
        <v>112</v>
      </c>
      <c r="O103" s="10" t="s">
        <v>99</v>
      </c>
      <c r="P103" s="10" t="s">
        <v>73</v>
      </c>
      <c r="Q103" s="11" t="s">
        <v>892</v>
      </c>
      <c r="R103" s="11" t="s">
        <v>97</v>
      </c>
      <c r="S103" s="12" t="s">
        <v>1117</v>
      </c>
      <c r="T103" s="11" t="s">
        <v>1118</v>
      </c>
    </row>
    <row r="104" spans="1:20" ht="34.5" x14ac:dyDescent="0.35">
      <c r="A104" s="10" t="s">
        <v>1119</v>
      </c>
      <c r="B104" s="11" t="s">
        <v>860</v>
      </c>
      <c r="C104" s="11" t="s">
        <v>896</v>
      </c>
      <c r="D104" s="11" t="s">
        <v>1120</v>
      </c>
      <c r="E104" s="11" t="s">
        <v>1121</v>
      </c>
      <c r="F104" s="11" t="s">
        <v>864</v>
      </c>
      <c r="G104" s="11" t="s">
        <v>1122</v>
      </c>
      <c r="H104" s="11" t="s">
        <v>1123</v>
      </c>
      <c r="I104" s="10" t="s">
        <v>1124</v>
      </c>
      <c r="J104" s="11" t="s">
        <v>1125</v>
      </c>
      <c r="K104" s="11" t="s">
        <v>97</v>
      </c>
      <c r="L104" s="11" t="s">
        <v>1126</v>
      </c>
      <c r="M104" s="11" t="s">
        <v>1127</v>
      </c>
      <c r="N104" s="10" t="s">
        <v>72</v>
      </c>
      <c r="O104" s="10" t="s">
        <v>85</v>
      </c>
      <c r="P104" s="10" t="s">
        <v>73</v>
      </c>
      <c r="Q104" s="11" t="s">
        <v>892</v>
      </c>
      <c r="R104" s="11" t="s">
        <v>97</v>
      </c>
      <c r="S104" s="12" t="s">
        <v>1128</v>
      </c>
      <c r="T104" s="11" t="s">
        <v>1129</v>
      </c>
    </row>
    <row r="105" spans="1:20" ht="46" x14ac:dyDescent="0.35">
      <c r="A105" s="10" t="s">
        <v>1130</v>
      </c>
      <c r="B105" s="11" t="s">
        <v>860</v>
      </c>
      <c r="C105" s="11" t="s">
        <v>1131</v>
      </c>
      <c r="D105" s="11" t="s">
        <v>1132</v>
      </c>
      <c r="E105" s="11" t="s">
        <v>1133</v>
      </c>
      <c r="F105" s="11" t="s">
        <v>1134</v>
      </c>
      <c r="G105" s="11" t="s">
        <v>1135</v>
      </c>
      <c r="H105" s="11" t="s">
        <v>1136</v>
      </c>
      <c r="I105" s="10" t="s">
        <v>112</v>
      </c>
      <c r="J105" s="11" t="s">
        <v>1137</v>
      </c>
      <c r="K105" s="11" t="s">
        <v>97</v>
      </c>
      <c r="L105" s="11" t="s">
        <v>1138</v>
      </c>
      <c r="M105" s="11" t="s">
        <v>1139</v>
      </c>
      <c r="N105" s="10" t="s">
        <v>112</v>
      </c>
      <c r="O105" s="10" t="s">
        <v>31</v>
      </c>
      <c r="P105" s="10" t="s">
        <v>73</v>
      </c>
      <c r="Q105" s="11" t="s">
        <v>1140</v>
      </c>
      <c r="R105" s="11" t="s">
        <v>1141</v>
      </c>
      <c r="S105" s="12" t="s">
        <v>1142</v>
      </c>
      <c r="T105" s="11" t="s">
        <v>1143</v>
      </c>
    </row>
    <row r="106" spans="1:20" ht="23" x14ac:dyDescent="0.35">
      <c r="A106" s="10" t="s">
        <v>1144</v>
      </c>
      <c r="B106" s="11" t="s">
        <v>860</v>
      </c>
      <c r="C106" s="11" t="s">
        <v>162</v>
      </c>
      <c r="D106" s="11" t="s">
        <v>1145</v>
      </c>
      <c r="E106" s="11" t="s">
        <v>1146</v>
      </c>
      <c r="F106" s="11" t="s">
        <v>1147</v>
      </c>
      <c r="G106" s="11" t="s">
        <v>1148</v>
      </c>
      <c r="H106" s="11" t="s">
        <v>1149</v>
      </c>
      <c r="I106" s="10" t="s">
        <v>371</v>
      </c>
      <c r="J106" s="11" t="s">
        <v>1150</v>
      </c>
      <c r="K106" s="11" t="s">
        <v>97</v>
      </c>
      <c r="L106" s="11" t="s">
        <v>1151</v>
      </c>
      <c r="M106" s="11" t="s">
        <v>1152</v>
      </c>
      <c r="N106" s="10" t="s">
        <v>95</v>
      </c>
      <c r="O106" s="10" t="s">
        <v>85</v>
      </c>
      <c r="P106" s="10" t="s">
        <v>73</v>
      </c>
      <c r="Q106" s="11" t="s">
        <v>1153</v>
      </c>
      <c r="R106" s="11" t="s">
        <v>420</v>
      </c>
      <c r="S106" s="12" t="s">
        <v>1154</v>
      </c>
      <c r="T106" s="11" t="s">
        <v>1155</v>
      </c>
    </row>
    <row r="107" spans="1:20" ht="34.5" x14ac:dyDescent="0.35">
      <c r="A107" s="10" t="s">
        <v>1156</v>
      </c>
      <c r="B107" s="11" t="s">
        <v>860</v>
      </c>
      <c r="C107" s="11" t="s">
        <v>61</v>
      </c>
      <c r="D107" s="11" t="s">
        <v>1157</v>
      </c>
      <c r="E107" s="11" t="s">
        <v>1158</v>
      </c>
      <c r="F107" s="11" t="s">
        <v>1159</v>
      </c>
      <c r="G107" s="11" t="s">
        <v>1160</v>
      </c>
      <c r="H107" s="11" t="s">
        <v>1161</v>
      </c>
      <c r="I107" s="10" t="s">
        <v>213</v>
      </c>
      <c r="J107" s="11" t="s">
        <v>1162</v>
      </c>
      <c r="K107" s="11" t="s">
        <v>1163</v>
      </c>
      <c r="L107" s="11" t="s">
        <v>1164</v>
      </c>
      <c r="M107" s="11" t="s">
        <v>217</v>
      </c>
      <c r="N107" s="10" t="s">
        <v>218</v>
      </c>
      <c r="O107" s="10" t="s">
        <v>31</v>
      </c>
      <c r="P107" s="10" t="s">
        <v>73</v>
      </c>
      <c r="Q107" s="11" t="s">
        <v>1165</v>
      </c>
      <c r="R107" s="11" t="s">
        <v>1166</v>
      </c>
      <c r="S107" s="12" t="s">
        <v>220</v>
      </c>
      <c r="T107" s="11" t="s">
        <v>1167</v>
      </c>
    </row>
    <row r="108" spans="1:20" ht="23" x14ac:dyDescent="0.35">
      <c r="A108" s="10" t="s">
        <v>1168</v>
      </c>
      <c r="B108" s="11" t="s">
        <v>860</v>
      </c>
      <c r="C108" s="11" t="s">
        <v>1169</v>
      </c>
      <c r="D108" s="11" t="s">
        <v>1170</v>
      </c>
      <c r="E108" s="11" t="s">
        <v>1171</v>
      </c>
      <c r="F108" s="11" t="s">
        <v>1172</v>
      </c>
      <c r="G108" s="11" t="s">
        <v>1173</v>
      </c>
      <c r="H108" s="11" t="s">
        <v>1174</v>
      </c>
      <c r="I108" s="10" t="s">
        <v>95</v>
      </c>
      <c r="J108" s="11" t="s">
        <v>590</v>
      </c>
      <c r="K108" s="11" t="s">
        <v>97</v>
      </c>
      <c r="L108" s="11" t="s">
        <v>1175</v>
      </c>
      <c r="M108" s="11" t="s">
        <v>1176</v>
      </c>
      <c r="N108" s="10" t="s">
        <v>95</v>
      </c>
      <c r="O108" s="10" t="s">
        <v>99</v>
      </c>
      <c r="P108" s="10" t="s">
        <v>73</v>
      </c>
      <c r="Q108" s="11" t="s">
        <v>880</v>
      </c>
      <c r="R108" s="11" t="s">
        <v>420</v>
      </c>
      <c r="S108" s="12" t="s">
        <v>1177</v>
      </c>
      <c r="T108" s="11" t="s">
        <v>1178</v>
      </c>
    </row>
    <row r="109" spans="1:20" ht="34.5" x14ac:dyDescent="0.35">
      <c r="A109" s="10" t="s">
        <v>1179</v>
      </c>
      <c r="B109" s="11" t="s">
        <v>860</v>
      </c>
      <c r="C109" s="11" t="s">
        <v>1180</v>
      </c>
      <c r="D109" s="11" t="s">
        <v>1181</v>
      </c>
      <c r="E109" s="11" t="s">
        <v>1182</v>
      </c>
      <c r="F109" s="11" t="s">
        <v>909</v>
      </c>
      <c r="G109" s="11" t="s">
        <v>1183</v>
      </c>
      <c r="H109" s="11" t="s">
        <v>1184</v>
      </c>
      <c r="I109" s="10" t="s">
        <v>180</v>
      </c>
      <c r="J109" s="11" t="s">
        <v>240</v>
      </c>
      <c r="K109" s="11" t="s">
        <v>1185</v>
      </c>
      <c r="L109" s="11" t="s">
        <v>1186</v>
      </c>
      <c r="M109" s="11" t="s">
        <v>1187</v>
      </c>
      <c r="N109" s="10" t="s">
        <v>618</v>
      </c>
      <c r="O109" s="10" t="s">
        <v>85</v>
      </c>
      <c r="P109" s="10" t="s">
        <v>73</v>
      </c>
      <c r="Q109" s="11" t="s">
        <v>1188</v>
      </c>
      <c r="R109" s="11" t="s">
        <v>1189</v>
      </c>
      <c r="S109" s="12" t="s">
        <v>1190</v>
      </c>
      <c r="T109" s="11" t="s">
        <v>1191</v>
      </c>
    </row>
    <row r="110" spans="1:20" ht="23" x14ac:dyDescent="0.35">
      <c r="A110" s="10" t="s">
        <v>1192</v>
      </c>
      <c r="B110" s="11" t="s">
        <v>860</v>
      </c>
      <c r="C110" s="11" t="s">
        <v>1180</v>
      </c>
      <c r="D110" s="11" t="s">
        <v>1193</v>
      </c>
      <c r="E110" s="11" t="s">
        <v>839</v>
      </c>
      <c r="F110" s="11" t="s">
        <v>909</v>
      </c>
      <c r="G110" s="11" t="s">
        <v>1194</v>
      </c>
      <c r="H110" s="11" t="s">
        <v>1195</v>
      </c>
      <c r="I110" s="10" t="s">
        <v>371</v>
      </c>
      <c r="J110" s="11" t="s">
        <v>1196</v>
      </c>
      <c r="K110" s="11" t="s">
        <v>1197</v>
      </c>
      <c r="L110" s="11" t="s">
        <v>1198</v>
      </c>
      <c r="M110" s="11" t="s">
        <v>385</v>
      </c>
      <c r="N110" s="10" t="s">
        <v>72</v>
      </c>
      <c r="O110" s="10" t="s">
        <v>99</v>
      </c>
      <c r="P110" s="10" t="s">
        <v>73</v>
      </c>
      <c r="Q110" s="11" t="s">
        <v>1188</v>
      </c>
      <c r="R110" s="11" t="s">
        <v>1199</v>
      </c>
      <c r="S110" s="12" t="s">
        <v>1200</v>
      </c>
      <c r="T110" s="11" t="s">
        <v>1201</v>
      </c>
    </row>
    <row r="111" spans="1:20" ht="34.5" x14ac:dyDescent="0.35">
      <c r="A111" s="10" t="s">
        <v>1202</v>
      </c>
      <c r="B111" s="11" t="s">
        <v>860</v>
      </c>
      <c r="C111" s="11" t="s">
        <v>1203</v>
      </c>
      <c r="D111" s="11" t="s">
        <v>1204</v>
      </c>
      <c r="E111" s="11" t="s">
        <v>863</v>
      </c>
      <c r="F111" s="11" t="s">
        <v>1205</v>
      </c>
      <c r="G111" s="11" t="s">
        <v>1206</v>
      </c>
      <c r="H111" s="11" t="s">
        <v>1207</v>
      </c>
      <c r="I111" s="10" t="s">
        <v>1208</v>
      </c>
      <c r="J111" s="11" t="s">
        <v>1209</v>
      </c>
      <c r="K111" s="11" t="s">
        <v>97</v>
      </c>
      <c r="L111" s="11" t="s">
        <v>183</v>
      </c>
      <c r="M111" s="11" t="s">
        <v>181</v>
      </c>
      <c r="N111" s="10" t="s">
        <v>618</v>
      </c>
      <c r="O111" s="10" t="s">
        <v>31</v>
      </c>
      <c r="P111" s="10" t="s">
        <v>73</v>
      </c>
      <c r="Q111" s="11" t="s">
        <v>619</v>
      </c>
      <c r="R111" s="11" t="s">
        <v>97</v>
      </c>
      <c r="S111" s="12" t="s">
        <v>1210</v>
      </c>
      <c r="T111" s="11" t="s">
        <v>1211</v>
      </c>
    </row>
    <row r="112" spans="1:20" ht="23" x14ac:dyDescent="0.35">
      <c r="A112" s="10" t="s">
        <v>1212</v>
      </c>
      <c r="B112" s="11" t="s">
        <v>860</v>
      </c>
      <c r="C112" s="11" t="s">
        <v>1213</v>
      </c>
      <c r="D112" s="11" t="s">
        <v>1214</v>
      </c>
      <c r="E112" s="11" t="s">
        <v>1215</v>
      </c>
      <c r="F112" s="11" t="s">
        <v>1216</v>
      </c>
      <c r="G112" s="11" t="s">
        <v>1217</v>
      </c>
      <c r="H112" s="11" t="s">
        <v>1218</v>
      </c>
      <c r="I112" s="10" t="s">
        <v>371</v>
      </c>
      <c r="J112" s="11" t="s">
        <v>1219</v>
      </c>
      <c r="K112" s="11" t="s">
        <v>97</v>
      </c>
      <c r="L112" s="11" t="s">
        <v>537</v>
      </c>
      <c r="M112" s="11" t="s">
        <v>181</v>
      </c>
      <c r="N112" s="10" t="s">
        <v>72</v>
      </c>
      <c r="O112" s="10" t="s">
        <v>99</v>
      </c>
      <c r="P112" s="10" t="s">
        <v>73</v>
      </c>
      <c r="Q112" s="11" t="s">
        <v>619</v>
      </c>
      <c r="R112" s="11" t="s">
        <v>97</v>
      </c>
      <c r="S112" s="12" t="s">
        <v>1220</v>
      </c>
      <c r="T112" s="11" t="s">
        <v>1221</v>
      </c>
    </row>
  </sheetData>
  <autoFilter ref="A3:T112" xr:uid="{00000000-0009-0000-0000-000001000000}"/>
  <conditionalFormatting sqref="P4:P400">
    <cfRule type="containsText" dxfId="47" priority="1" operator="containsText" text="Done">
      <formula>NOT(ISERROR(SEARCH("Done",P4)))</formula>
    </cfRule>
    <cfRule type="containsText" dxfId="46" priority="2" operator="containsText" text="Validated">
      <formula>NOT(ISERROR(SEARCH("Validated",P4)))</formula>
    </cfRule>
    <cfRule type="containsText" dxfId="45" priority="3" operator="containsText" text="Loaded">
      <formula>NOT(ISERROR(SEARCH("Loaded",P4)))</formula>
    </cfRule>
    <cfRule type="containsText" dxfId="44" priority="4" operator="containsText" text="In progress">
      <formula>NOT(ISERROR(SEARCH("In progress",P4)))</formula>
    </cfRule>
    <cfRule type="containsText" dxfId="43" priority="5" operator="containsText" text="Fetched">
      <formula>NOT(ISERROR(SEARCH("Fetched",P4)))</formula>
    </cfRule>
    <cfRule type="containsText" dxfId="42" priority="6" operator="containsText" text="Cleaned">
      <formula>NOT(ISERROR(SEARCH("Cleaned",P4)))</formula>
    </cfRule>
    <cfRule type="containsText" dxfId="41" priority="7" operator="containsText" text="Blocked">
      <formula>NOT(ISERROR(SEARCH("Blocked",P4)))</formula>
    </cfRule>
    <cfRule type="containsText" dxfId="40" priority="8" operator="containsText" text="Not started">
      <formula>NOT(ISERROR(SEARCH("Not started",P4)))</formula>
    </cfRule>
  </conditionalFormatting>
  <dataValidations count="2">
    <dataValidation type="list" allowBlank="1" sqref="P4:P400" xr:uid="{00000000-0002-0000-0100-000000000000}">
      <formula1>"Not started,In progress,Fetched,Cleaned,Loaded,Validated,Done,Blocked,N/A"</formula1>
    </dataValidation>
    <dataValidation type="list" allowBlank="1" sqref="O4:O400" xr:uid="{00000000-0002-0000-0100-000001000000}">
      <formula1>"P1,P2,P3"</formula1>
    </dataValidation>
  </dataValidations>
  <hyperlinks>
    <hyperlink ref="S4" r:id="rId1" xr:uid="{00000000-0004-0000-0100-000000000000}"/>
    <hyperlink ref="S5" r:id="rId2" xr:uid="{00000000-0004-0000-0100-000001000000}"/>
    <hyperlink ref="S6" r:id="rId3" xr:uid="{00000000-0004-0000-0100-000002000000}"/>
    <hyperlink ref="S7" r:id="rId4" xr:uid="{00000000-0004-0000-0100-000003000000}"/>
    <hyperlink ref="S8" r:id="rId5" xr:uid="{00000000-0004-0000-0100-000004000000}"/>
    <hyperlink ref="S9" r:id="rId6" xr:uid="{00000000-0004-0000-0100-000005000000}"/>
    <hyperlink ref="S10" r:id="rId7" xr:uid="{00000000-0004-0000-0100-000006000000}"/>
    <hyperlink ref="S11" r:id="rId8" xr:uid="{00000000-0004-0000-0100-000007000000}"/>
    <hyperlink ref="S12" r:id="rId9" xr:uid="{00000000-0004-0000-0100-000008000000}"/>
    <hyperlink ref="S13" r:id="rId10" xr:uid="{00000000-0004-0000-0100-000009000000}"/>
    <hyperlink ref="S14" r:id="rId11" xr:uid="{00000000-0004-0000-0100-00000A000000}"/>
    <hyperlink ref="S15" r:id="rId12" xr:uid="{00000000-0004-0000-0100-00000B000000}"/>
    <hyperlink ref="S16" r:id="rId13" xr:uid="{00000000-0004-0000-0100-00000C000000}"/>
    <hyperlink ref="S17" r:id="rId14" xr:uid="{00000000-0004-0000-0100-00000D000000}"/>
    <hyperlink ref="S18" r:id="rId15" xr:uid="{00000000-0004-0000-0100-00000E000000}"/>
    <hyperlink ref="S19" r:id="rId16" xr:uid="{00000000-0004-0000-0100-00000F000000}"/>
    <hyperlink ref="S20" r:id="rId17" xr:uid="{00000000-0004-0000-0100-000010000000}"/>
    <hyperlink ref="S21" r:id="rId18" xr:uid="{00000000-0004-0000-0100-000011000000}"/>
    <hyperlink ref="S22" r:id="rId19" xr:uid="{00000000-0004-0000-0100-000012000000}"/>
    <hyperlink ref="S23" r:id="rId20" xr:uid="{00000000-0004-0000-0100-000013000000}"/>
    <hyperlink ref="S24" r:id="rId21" xr:uid="{00000000-0004-0000-0100-000014000000}"/>
    <hyperlink ref="S25" r:id="rId22" xr:uid="{00000000-0004-0000-0100-000015000000}"/>
    <hyperlink ref="S26" r:id="rId23" xr:uid="{00000000-0004-0000-0100-000016000000}"/>
    <hyperlink ref="S27" r:id="rId24" xr:uid="{00000000-0004-0000-0100-000017000000}"/>
    <hyperlink ref="S28" r:id="rId25" xr:uid="{00000000-0004-0000-0100-000018000000}"/>
    <hyperlink ref="S29" r:id="rId26" xr:uid="{00000000-0004-0000-0100-000019000000}"/>
    <hyperlink ref="S30" r:id="rId27" xr:uid="{00000000-0004-0000-0100-00001A000000}"/>
    <hyperlink ref="S31" r:id="rId28" xr:uid="{00000000-0004-0000-0100-00001B000000}"/>
    <hyperlink ref="S32" r:id="rId29" xr:uid="{00000000-0004-0000-0100-00001C000000}"/>
    <hyperlink ref="S33" r:id="rId30" xr:uid="{00000000-0004-0000-0100-00001D000000}"/>
    <hyperlink ref="S34" r:id="rId31" xr:uid="{00000000-0004-0000-0100-00001E000000}"/>
    <hyperlink ref="S35" r:id="rId32" xr:uid="{00000000-0004-0000-0100-00001F000000}"/>
    <hyperlink ref="S36" r:id="rId33" xr:uid="{00000000-0004-0000-0100-000020000000}"/>
    <hyperlink ref="S37" r:id="rId34" xr:uid="{00000000-0004-0000-0100-000021000000}"/>
    <hyperlink ref="S38" r:id="rId35" xr:uid="{00000000-0004-0000-0100-000022000000}"/>
    <hyperlink ref="S39" r:id="rId36" xr:uid="{00000000-0004-0000-0100-000023000000}"/>
    <hyperlink ref="S40" r:id="rId37" xr:uid="{00000000-0004-0000-0100-000024000000}"/>
    <hyperlink ref="S41" r:id="rId38" xr:uid="{00000000-0004-0000-0100-000025000000}"/>
    <hyperlink ref="S42" r:id="rId39" xr:uid="{00000000-0004-0000-0100-000026000000}"/>
    <hyperlink ref="S43" r:id="rId40" xr:uid="{00000000-0004-0000-0100-000027000000}"/>
    <hyperlink ref="S44" r:id="rId41" xr:uid="{00000000-0004-0000-0100-000028000000}"/>
    <hyperlink ref="S45" r:id="rId42" xr:uid="{00000000-0004-0000-0100-000029000000}"/>
    <hyperlink ref="S46" r:id="rId43" xr:uid="{00000000-0004-0000-0100-00002A000000}"/>
    <hyperlink ref="S47" r:id="rId44" xr:uid="{00000000-0004-0000-0100-00002B000000}"/>
    <hyperlink ref="S48" r:id="rId45" xr:uid="{00000000-0004-0000-0100-00002C000000}"/>
    <hyperlink ref="S49" r:id="rId46" xr:uid="{00000000-0004-0000-0100-00002D000000}"/>
    <hyperlink ref="S50" r:id="rId47" xr:uid="{00000000-0004-0000-0100-00002E000000}"/>
    <hyperlink ref="S51" r:id="rId48" xr:uid="{00000000-0004-0000-0100-00002F000000}"/>
    <hyperlink ref="S52" r:id="rId49" xr:uid="{00000000-0004-0000-0100-000030000000}"/>
    <hyperlink ref="S53" r:id="rId50" xr:uid="{00000000-0004-0000-0100-000031000000}"/>
    <hyperlink ref="S54" r:id="rId51" xr:uid="{00000000-0004-0000-0100-000032000000}"/>
    <hyperlink ref="S55" r:id="rId52" xr:uid="{00000000-0004-0000-0100-000033000000}"/>
    <hyperlink ref="S56" r:id="rId53" xr:uid="{00000000-0004-0000-0100-000034000000}"/>
    <hyperlink ref="S57" r:id="rId54" xr:uid="{00000000-0004-0000-0100-000035000000}"/>
    <hyperlink ref="S58" r:id="rId55" xr:uid="{00000000-0004-0000-0100-000036000000}"/>
    <hyperlink ref="S59" r:id="rId56" xr:uid="{00000000-0004-0000-0100-000037000000}"/>
    <hyperlink ref="S60" r:id="rId57" xr:uid="{00000000-0004-0000-0100-000038000000}"/>
    <hyperlink ref="S61" r:id="rId58" xr:uid="{00000000-0004-0000-0100-000039000000}"/>
    <hyperlink ref="S62" r:id="rId59" xr:uid="{00000000-0004-0000-0100-00003A000000}"/>
    <hyperlink ref="S63" r:id="rId60" xr:uid="{00000000-0004-0000-0100-00003B000000}"/>
    <hyperlink ref="S64" r:id="rId61" xr:uid="{00000000-0004-0000-0100-00003C000000}"/>
    <hyperlink ref="S65" r:id="rId62" xr:uid="{00000000-0004-0000-0100-00003D000000}"/>
    <hyperlink ref="S66" r:id="rId63" xr:uid="{00000000-0004-0000-0100-00003E000000}"/>
    <hyperlink ref="S67" r:id="rId64" xr:uid="{00000000-0004-0000-0100-00003F000000}"/>
    <hyperlink ref="S68" r:id="rId65" xr:uid="{00000000-0004-0000-0100-000040000000}"/>
    <hyperlink ref="S69" r:id="rId66" xr:uid="{00000000-0004-0000-0100-000041000000}"/>
    <hyperlink ref="S70" r:id="rId67" xr:uid="{00000000-0004-0000-0100-000042000000}"/>
    <hyperlink ref="S71" r:id="rId68" xr:uid="{00000000-0004-0000-0100-000043000000}"/>
    <hyperlink ref="S72" r:id="rId69" xr:uid="{00000000-0004-0000-0100-000044000000}"/>
    <hyperlink ref="S73" r:id="rId70" xr:uid="{00000000-0004-0000-0100-000045000000}"/>
    <hyperlink ref="S74" r:id="rId71" xr:uid="{00000000-0004-0000-0100-000046000000}"/>
    <hyperlink ref="S75" r:id="rId72" xr:uid="{00000000-0004-0000-0100-000047000000}"/>
    <hyperlink ref="S76" r:id="rId73" xr:uid="{00000000-0004-0000-0100-000048000000}"/>
    <hyperlink ref="S77" r:id="rId74" xr:uid="{00000000-0004-0000-0100-000049000000}"/>
    <hyperlink ref="S78" r:id="rId75" xr:uid="{00000000-0004-0000-0100-00004A000000}"/>
    <hyperlink ref="S79" r:id="rId76" xr:uid="{00000000-0004-0000-0100-00004B000000}"/>
    <hyperlink ref="S80" r:id="rId77" xr:uid="{00000000-0004-0000-0100-00004C000000}"/>
    <hyperlink ref="S81" r:id="rId78" xr:uid="{00000000-0004-0000-0100-00004D000000}"/>
    <hyperlink ref="S82" r:id="rId79" xr:uid="{00000000-0004-0000-0100-00004E000000}"/>
    <hyperlink ref="S83" r:id="rId80" xr:uid="{00000000-0004-0000-0100-00004F000000}"/>
    <hyperlink ref="S84" r:id="rId81" xr:uid="{00000000-0004-0000-0100-000050000000}"/>
    <hyperlink ref="S85" r:id="rId82" xr:uid="{00000000-0004-0000-0100-000051000000}"/>
    <hyperlink ref="S86" r:id="rId83" xr:uid="{00000000-0004-0000-0100-000052000000}"/>
    <hyperlink ref="S87" r:id="rId84" xr:uid="{00000000-0004-0000-0100-000053000000}"/>
    <hyperlink ref="S88" r:id="rId85" xr:uid="{00000000-0004-0000-0100-000054000000}"/>
    <hyperlink ref="S89" r:id="rId86" xr:uid="{00000000-0004-0000-0100-000055000000}"/>
    <hyperlink ref="S90" r:id="rId87" xr:uid="{00000000-0004-0000-0100-000056000000}"/>
    <hyperlink ref="S91" r:id="rId88" xr:uid="{00000000-0004-0000-0100-000057000000}"/>
    <hyperlink ref="S92" r:id="rId89" xr:uid="{00000000-0004-0000-0100-000058000000}"/>
    <hyperlink ref="S93" r:id="rId90" xr:uid="{00000000-0004-0000-0100-000059000000}"/>
    <hyperlink ref="S94" r:id="rId91" xr:uid="{00000000-0004-0000-0100-00005A000000}"/>
    <hyperlink ref="S95" r:id="rId92" xr:uid="{00000000-0004-0000-0100-00005B000000}"/>
    <hyperlink ref="S96" r:id="rId93" xr:uid="{00000000-0004-0000-0100-00005C000000}"/>
    <hyperlink ref="S97" r:id="rId94" xr:uid="{00000000-0004-0000-0100-00005D000000}"/>
    <hyperlink ref="S98" r:id="rId95" xr:uid="{00000000-0004-0000-0100-00005E000000}"/>
    <hyperlink ref="S99" r:id="rId96" xr:uid="{00000000-0004-0000-0100-00005F000000}"/>
    <hyperlink ref="S100" r:id="rId97" xr:uid="{00000000-0004-0000-0100-000060000000}"/>
    <hyperlink ref="S101" r:id="rId98" xr:uid="{00000000-0004-0000-0100-000061000000}"/>
    <hyperlink ref="S102" r:id="rId99" xr:uid="{00000000-0004-0000-0100-000062000000}"/>
    <hyperlink ref="S103" r:id="rId100" xr:uid="{00000000-0004-0000-0100-000063000000}"/>
    <hyperlink ref="S104" r:id="rId101" xr:uid="{00000000-0004-0000-0100-000064000000}"/>
    <hyperlink ref="S105" r:id="rId102" xr:uid="{00000000-0004-0000-0100-000065000000}"/>
    <hyperlink ref="S106" r:id="rId103" xr:uid="{00000000-0004-0000-0100-000066000000}"/>
    <hyperlink ref="S107" r:id="rId104" xr:uid="{00000000-0004-0000-0100-000067000000}"/>
    <hyperlink ref="S108" r:id="rId105" xr:uid="{00000000-0004-0000-0100-000068000000}"/>
    <hyperlink ref="S109" r:id="rId106" xr:uid="{00000000-0004-0000-0100-000069000000}"/>
    <hyperlink ref="S110" r:id="rId107" xr:uid="{00000000-0004-0000-0100-00006A000000}"/>
    <hyperlink ref="S111" r:id="rId108" xr:uid="{00000000-0004-0000-0100-00006B000000}"/>
    <hyperlink ref="S112" r:id="rId109" xr:uid="{00000000-0004-0000-0100-00006C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"/>
  <sheetViews>
    <sheetView showGridLines="0" workbookViewId="0"/>
  </sheetViews>
  <sheetFormatPr defaultRowHeight="14.5" x14ac:dyDescent="0.35"/>
  <cols>
    <col min="1" max="1" width="38" customWidth="1"/>
    <col min="2" max="2" width="9" customWidth="1"/>
    <col min="3" max="3" width="12" customWidth="1"/>
    <col min="4" max="4" width="10" customWidth="1"/>
    <col min="5" max="5" width="14" customWidth="1"/>
    <col min="6" max="6" width="12" customWidth="1"/>
    <col min="7" max="7" width="10" customWidth="1"/>
    <col min="8" max="10" width="9" customWidth="1"/>
    <col min="11" max="11" width="10" customWidth="1"/>
    <col min="12" max="13" width="9" customWidth="1"/>
    <col min="14" max="16" width="8" customWidth="1"/>
  </cols>
  <sheetData>
    <row r="1" spans="1:15" ht="18" x14ac:dyDescent="0.4">
      <c r="A1" s="1" t="s">
        <v>1222</v>
      </c>
    </row>
    <row r="2" spans="1:15" x14ac:dyDescent="0.35">
      <c r="A2" s="2" t="s">
        <v>1223</v>
      </c>
    </row>
    <row r="4" spans="1:15" x14ac:dyDescent="0.35">
      <c r="A4" s="13" t="s">
        <v>1224</v>
      </c>
      <c r="E4" s="13" t="s">
        <v>1225</v>
      </c>
    </row>
    <row r="5" spans="1:15" x14ac:dyDescent="0.35">
      <c r="A5" s="14" t="s">
        <v>1226</v>
      </c>
      <c r="C5" s="15">
        <f>COUNTA('1_Sources'!$A$4:$A$112)</f>
        <v>109</v>
      </c>
      <c r="E5" s="16" t="s">
        <v>24</v>
      </c>
      <c r="F5" s="16" t="s">
        <v>73</v>
      </c>
      <c r="G5" s="16" t="s">
        <v>1227</v>
      </c>
      <c r="H5" s="16" t="s">
        <v>32</v>
      </c>
      <c r="I5" s="16" t="s">
        <v>1228</v>
      </c>
      <c r="J5" s="16" t="s">
        <v>1229</v>
      </c>
      <c r="K5" s="16" t="s">
        <v>1230</v>
      </c>
      <c r="L5" s="16" t="s">
        <v>1231</v>
      </c>
      <c r="M5" s="16" t="s">
        <v>1232</v>
      </c>
      <c r="N5" s="16" t="s">
        <v>1233</v>
      </c>
      <c r="O5" s="16" t="s">
        <v>1234</v>
      </c>
    </row>
    <row r="6" spans="1:15" x14ac:dyDescent="0.35">
      <c r="A6" s="14" t="s">
        <v>1235</v>
      </c>
      <c r="C6" s="15">
        <f>COUNTIF('1_Sources'!$P$4:$P$112,"Loaded")+COUNTIF('1_Sources'!$P$4:$P$112,"Validated")+COUNTIF('1_Sources'!$P$4:$P$112,"Done")</f>
        <v>0</v>
      </c>
      <c r="E6" s="4" t="s">
        <v>31</v>
      </c>
      <c r="F6" s="17">
        <f>COUNTIFS('1_Sources'!$O$4:$O$112,"P1",'1_Sources'!$P$4:$P$112,"Not started")</f>
        <v>38</v>
      </c>
      <c r="G6" s="17">
        <f>COUNTIFS('1_Sources'!$O$4:$O$112,"P1",'1_Sources'!$P$4:$P$112,"In progress")</f>
        <v>0</v>
      </c>
      <c r="H6" s="17">
        <f>COUNTIFS('1_Sources'!$O$4:$O$112,"P1",'1_Sources'!$P$4:$P$112,"Fetched")</f>
        <v>0</v>
      </c>
      <c r="I6" s="17">
        <f>COUNTIFS('1_Sources'!$O$4:$O$112,"P1",'1_Sources'!$P$4:$P$112,"Cleaned")</f>
        <v>0</v>
      </c>
      <c r="J6" s="17">
        <f>COUNTIFS('1_Sources'!$O$4:$O$112,"P1",'1_Sources'!$P$4:$P$112,"Loaded")</f>
        <v>0</v>
      </c>
      <c r="K6" s="17">
        <f>COUNTIFS('1_Sources'!$O$4:$O$112,"P1",'1_Sources'!$P$4:$P$112,"Validated")</f>
        <v>0</v>
      </c>
      <c r="L6" s="17">
        <f>COUNTIFS('1_Sources'!$O$4:$O$112,"P1",'1_Sources'!$P$4:$P$112,"Done")</f>
        <v>0</v>
      </c>
      <c r="M6" s="17">
        <f>COUNTIFS('1_Sources'!$O$4:$O$112,"P1",'1_Sources'!$P$4:$P$112,"Blocked")</f>
        <v>0</v>
      </c>
      <c r="N6" s="17">
        <f>COUNTIFS('1_Sources'!$O$4:$O$112,"P1",'1_Sources'!$P$4:$P$112,"N/A")</f>
        <v>0</v>
      </c>
      <c r="O6" s="18">
        <f>COUNTIF('1_Sources'!$O$4:$O$112,"P1")</f>
        <v>38</v>
      </c>
    </row>
    <row r="7" spans="1:15" x14ac:dyDescent="0.35">
      <c r="A7" s="14" t="s">
        <v>1236</v>
      </c>
      <c r="C7" s="15">
        <f>COUNTIF('1_Sources'!$P$4:$P$112,"In progress")+COUNTIF('1_Sources'!$P$4:$P$112,"Fetched")+COUNTIF('1_Sources'!$P$4:$P$112,"Cleaned")</f>
        <v>0</v>
      </c>
      <c r="E7" s="4" t="s">
        <v>85</v>
      </c>
      <c r="F7" s="17">
        <f>COUNTIFS('1_Sources'!$O$4:$O$112,"P2",'1_Sources'!$P$4:$P$112,"Not started")</f>
        <v>37</v>
      </c>
      <c r="G7" s="17">
        <f>COUNTIFS('1_Sources'!$O$4:$O$112,"P2",'1_Sources'!$P$4:$P$112,"In progress")</f>
        <v>0</v>
      </c>
      <c r="H7" s="17">
        <f>COUNTIFS('1_Sources'!$O$4:$O$112,"P2",'1_Sources'!$P$4:$P$112,"Fetched")</f>
        <v>0</v>
      </c>
      <c r="I7" s="17">
        <f>COUNTIFS('1_Sources'!$O$4:$O$112,"P2",'1_Sources'!$P$4:$P$112,"Cleaned")</f>
        <v>0</v>
      </c>
      <c r="J7" s="17">
        <f>COUNTIFS('1_Sources'!$O$4:$O$112,"P2",'1_Sources'!$P$4:$P$112,"Loaded")</f>
        <v>0</v>
      </c>
      <c r="K7" s="17">
        <f>COUNTIFS('1_Sources'!$O$4:$O$112,"P2",'1_Sources'!$P$4:$P$112,"Validated")</f>
        <v>0</v>
      </c>
      <c r="L7" s="17">
        <f>COUNTIFS('1_Sources'!$O$4:$O$112,"P2",'1_Sources'!$P$4:$P$112,"Done")</f>
        <v>0</v>
      </c>
      <c r="M7" s="17">
        <f>COUNTIFS('1_Sources'!$O$4:$O$112,"P2",'1_Sources'!$P$4:$P$112,"Blocked")</f>
        <v>0</v>
      </c>
      <c r="N7" s="17">
        <f>COUNTIFS('1_Sources'!$O$4:$O$112,"P2",'1_Sources'!$P$4:$P$112,"N/A")</f>
        <v>0</v>
      </c>
      <c r="O7" s="18">
        <f>COUNTIF('1_Sources'!$O$4:$O$112,"P2")</f>
        <v>37</v>
      </c>
    </row>
    <row r="8" spans="1:15" x14ac:dyDescent="0.35">
      <c r="A8" s="14" t="s">
        <v>1237</v>
      </c>
      <c r="C8" s="19">
        <f>IFERROR((COUNTIF('1_Sources'!$P$4:$P$112,"Loaded")+COUNTIF('1_Sources'!$P$4:$P$112,"Validated")+COUNTIF('1_Sources'!$P$4:$P$112,"Done"))/MAX(1,COUNTA('1_Sources'!$A$4:$A$112)-COUNTIF('1_Sources'!$P$4:$P$112,"N/A")),0)</f>
        <v>0</v>
      </c>
      <c r="E8" s="4" t="s">
        <v>99</v>
      </c>
      <c r="F8" s="17">
        <f>COUNTIFS('1_Sources'!$O$4:$O$112,"P3",'1_Sources'!$P$4:$P$112,"Not started")</f>
        <v>34</v>
      </c>
      <c r="G8" s="17">
        <f>COUNTIFS('1_Sources'!$O$4:$O$112,"P3",'1_Sources'!$P$4:$P$112,"In progress")</f>
        <v>0</v>
      </c>
      <c r="H8" s="17">
        <f>COUNTIFS('1_Sources'!$O$4:$O$112,"P3",'1_Sources'!$P$4:$P$112,"Fetched")</f>
        <v>0</v>
      </c>
      <c r="I8" s="17">
        <f>COUNTIFS('1_Sources'!$O$4:$O$112,"P3",'1_Sources'!$P$4:$P$112,"Cleaned")</f>
        <v>0</v>
      </c>
      <c r="J8" s="17">
        <f>COUNTIFS('1_Sources'!$O$4:$O$112,"P3",'1_Sources'!$P$4:$P$112,"Loaded")</f>
        <v>0</v>
      </c>
      <c r="K8" s="17">
        <f>COUNTIFS('1_Sources'!$O$4:$O$112,"P3",'1_Sources'!$P$4:$P$112,"Validated")</f>
        <v>0</v>
      </c>
      <c r="L8" s="17">
        <f>COUNTIFS('1_Sources'!$O$4:$O$112,"P3",'1_Sources'!$P$4:$P$112,"Done")</f>
        <v>0</v>
      </c>
      <c r="M8" s="17">
        <f>COUNTIFS('1_Sources'!$O$4:$O$112,"P3",'1_Sources'!$P$4:$P$112,"Blocked")</f>
        <v>0</v>
      </c>
      <c r="N8" s="17">
        <f>COUNTIFS('1_Sources'!$O$4:$O$112,"P3",'1_Sources'!$P$4:$P$112,"N/A")</f>
        <v>0</v>
      </c>
      <c r="O8" s="18">
        <f>COUNTIF('1_Sources'!$O$4:$O$112,"P3")</f>
        <v>34</v>
      </c>
    </row>
    <row r="9" spans="1:15" x14ac:dyDescent="0.35">
      <c r="A9" s="14" t="s">
        <v>1238</v>
      </c>
      <c r="C9" s="15">
        <f>COUNTIF('4_Pipelines'!$K$4:$K$35,"Done")+COUNTIF('4_Pipelines'!$K$4:$K$35,"Validated")+COUNTIF('4_Pipelines'!$K$4:$K$35,"Loaded")</f>
        <v>0</v>
      </c>
    </row>
    <row r="10" spans="1:15" x14ac:dyDescent="0.35">
      <c r="A10" s="14" t="s">
        <v>1239</v>
      </c>
      <c r="C10" s="15">
        <f>COUNTIF('2_Assembly'!$L$4:$L$10,"Done")</f>
        <v>0</v>
      </c>
      <c r="E10" s="13" t="s">
        <v>1240</v>
      </c>
      <c r="F10" s="16" t="s">
        <v>1234</v>
      </c>
      <c r="G10" s="16" t="s">
        <v>1231</v>
      </c>
    </row>
    <row r="11" spans="1:15" x14ac:dyDescent="0.35">
      <c r="A11" s="14" t="s">
        <v>1241</v>
      </c>
      <c r="C11" s="15">
        <f>COUNTIF('3_Prototypes'!$K$4:$K$15,"Done")</f>
        <v>0</v>
      </c>
      <c r="E11" s="14" t="s">
        <v>60</v>
      </c>
      <c r="F11" s="18">
        <f>COUNTIF('1_Sources'!$B$4:$B$112,"Global")</f>
        <v>64</v>
      </c>
      <c r="G11" s="17">
        <f>COUNTIFS('1_Sources'!$B$4:$B$112,"Global",'1_Sources'!$P$4:$P$112,"Loaded")+COUNTIFS('1_Sources'!$B$4:$B$112,"Global",'1_Sources'!$P$4:$P$112,"Validated")+COUNTIFS('1_Sources'!$B$4:$B$112,"Global",'1_Sources'!$P$4:$P$112,"Done")</f>
        <v>0</v>
      </c>
    </row>
    <row r="12" spans="1:15" x14ac:dyDescent="0.35">
      <c r="A12" s="14" t="s">
        <v>1242</v>
      </c>
      <c r="C12" s="15">
        <f>COUNTIF('8_Watchlist'!$G$4:$G$21,"Not started")+COUNTIF('8_Watchlist'!$G$4:$G$21,"In progress")</f>
        <v>18</v>
      </c>
      <c r="E12" s="14" t="s">
        <v>860</v>
      </c>
      <c r="F12" s="18">
        <f>COUNTIF('1_Sources'!$B$4:$B$112,"India")</f>
        <v>34</v>
      </c>
      <c r="G12" s="17">
        <f>COUNTIFS('1_Sources'!$B$4:$B$112,"India",'1_Sources'!$P$4:$P$112,"Loaded")+COUNTIFS('1_Sources'!$B$4:$B$112,"India",'1_Sources'!$P$4:$P$112,"Validated")+COUNTIFS('1_Sources'!$B$4:$B$112,"India",'1_Sources'!$P$4:$P$112,"Done")</f>
        <v>0</v>
      </c>
    </row>
    <row r="13" spans="1:15" x14ac:dyDescent="0.35">
      <c r="E13" s="14" t="s">
        <v>825</v>
      </c>
      <c r="F13" s="18">
        <f>COUNTIF('1_Sources'!$B$4:$B$112,"EM")</f>
        <v>2</v>
      </c>
      <c r="G13" s="17">
        <f>COUNTIFS('1_Sources'!$B$4:$B$112,"EM",'1_Sources'!$P$4:$P$112,"Loaded")+COUNTIFS('1_Sources'!$B$4:$B$112,"EM",'1_Sources'!$P$4:$P$112,"Validated")+COUNTIFS('1_Sources'!$B$4:$B$112,"EM",'1_Sources'!$P$4:$P$112,"Done")</f>
        <v>0</v>
      </c>
    </row>
    <row r="14" spans="1:15" x14ac:dyDescent="0.35">
      <c r="E14" s="14" t="s">
        <v>746</v>
      </c>
      <c r="F14" s="18">
        <f>COUNTIF('1_Sources'!$B$4:$B$112,"Cross-country")</f>
        <v>9</v>
      </c>
      <c r="G14" s="17">
        <f>COUNTIFS('1_Sources'!$B$4:$B$112,"Cross-country",'1_Sources'!$P$4:$P$112,"Loaded")+COUNTIFS('1_Sources'!$B$4:$B$112,"Cross-country",'1_Sources'!$P$4:$P$112,"Validated")+COUNTIFS('1_Sources'!$B$4:$B$112,"Cross-country",'1_Sources'!$P$4:$P$112,"Done")</f>
        <v>0</v>
      </c>
    </row>
    <row r="16" spans="1:15" x14ac:dyDescent="0.35">
      <c r="A16" s="13" t="s">
        <v>1243</v>
      </c>
      <c r="B16" s="4"/>
    </row>
    <row r="17" spans="1:5" x14ac:dyDescent="0.35">
      <c r="A17" s="16" t="s">
        <v>1244</v>
      </c>
      <c r="B17" s="16" t="s">
        <v>1234</v>
      </c>
      <c r="C17" s="16" t="s">
        <v>73</v>
      </c>
      <c r="D17" s="16" t="s">
        <v>1245</v>
      </c>
      <c r="E17" s="16" t="s">
        <v>1231</v>
      </c>
    </row>
    <row r="18" spans="1:5" x14ac:dyDescent="0.35">
      <c r="A18" s="14" t="s">
        <v>1246</v>
      </c>
      <c r="B18" s="17">
        <f>COUNTA('1_Sources'!$P$4:$P$112)</f>
        <v>109</v>
      </c>
      <c r="C18" s="17">
        <f>COUNTIF('1_Sources'!$P$4:$P$112,"Not started")</f>
        <v>109</v>
      </c>
      <c r="D18" s="17">
        <f>COUNTIF('1_Sources'!$P$4:$P$112,"In progress")+COUNTIF('1_Sources'!$P$4:$P$112,"Fetched")+COUNTIF('1_Sources'!$P$4:$P$112,"Cleaned")</f>
        <v>0</v>
      </c>
      <c r="E18" s="17">
        <f>COUNTIF('1_Sources'!$P$4:$P$112,"Done")+COUNTIF('1_Sources'!$P$4:$P$112,"Validated")+COUNTIF('1_Sources'!$P$4:$P$112,"Loaded")</f>
        <v>0</v>
      </c>
    </row>
    <row r="19" spans="1:5" x14ac:dyDescent="0.35">
      <c r="A19" s="14" t="s">
        <v>1247</v>
      </c>
      <c r="B19" s="17">
        <f>COUNTA('2_Assembly'!$L$4:$L$10)</f>
        <v>7</v>
      </c>
      <c r="C19" s="17">
        <f>COUNTIF('2_Assembly'!$L$4:$L$10,"Not started")</f>
        <v>7</v>
      </c>
      <c r="D19" s="17">
        <f>COUNTIF('2_Assembly'!$L$4:$L$10,"In progress")+COUNTIF('2_Assembly'!$L$4:$L$10,"Fetched")+COUNTIF('2_Assembly'!$L$4:$L$10,"Cleaned")</f>
        <v>0</v>
      </c>
      <c r="E19" s="17">
        <f>COUNTIF('2_Assembly'!$L$4:$L$10,"Done")+COUNTIF('2_Assembly'!$L$4:$L$10,"Validated")+COUNTIF('2_Assembly'!$L$4:$L$10,"Loaded")</f>
        <v>0</v>
      </c>
    </row>
    <row r="20" spans="1:5" x14ac:dyDescent="0.35">
      <c r="A20" s="14" t="s">
        <v>1248</v>
      </c>
      <c r="B20" s="17">
        <f>COUNTA('3_Prototypes'!$K$4:$K$15)</f>
        <v>12</v>
      </c>
      <c r="C20" s="17">
        <f>COUNTIF('3_Prototypes'!$K$4:$K$15,"Not started")</f>
        <v>12</v>
      </c>
      <c r="D20" s="17">
        <f>COUNTIF('3_Prototypes'!$K$4:$K$15,"In progress")+COUNTIF('3_Prototypes'!$K$4:$K$15,"Fetched")+COUNTIF('3_Prototypes'!$K$4:$K$15,"Cleaned")</f>
        <v>0</v>
      </c>
      <c r="E20" s="17">
        <f>COUNTIF('3_Prototypes'!$K$4:$K$15,"Done")+COUNTIF('3_Prototypes'!$K$4:$K$15,"Validated")+COUNTIF('3_Prototypes'!$K$4:$K$15,"Loaded")</f>
        <v>0</v>
      </c>
    </row>
    <row r="21" spans="1:5" x14ac:dyDescent="0.35">
      <c r="A21" s="14" t="s">
        <v>1249</v>
      </c>
      <c r="B21" s="17">
        <f>COUNTA('4_Pipelines'!$K$4:$K$35)</f>
        <v>32</v>
      </c>
      <c r="C21" s="17">
        <f>COUNTIF('4_Pipelines'!$K$4:$K$35,"Not started")</f>
        <v>32</v>
      </c>
      <c r="D21" s="17">
        <f>COUNTIF('4_Pipelines'!$K$4:$K$35,"In progress")+COUNTIF('4_Pipelines'!$K$4:$K$35,"Fetched")+COUNTIF('4_Pipelines'!$K$4:$K$35,"Cleaned")</f>
        <v>0</v>
      </c>
      <c r="E21" s="17">
        <f>COUNTIF('4_Pipelines'!$K$4:$K$35,"Done")+COUNTIF('4_Pipelines'!$K$4:$K$35,"Validated")+COUNTIF('4_Pipelines'!$K$4:$K$35,"Loaded")</f>
        <v>0</v>
      </c>
    </row>
    <row r="22" spans="1:5" x14ac:dyDescent="0.35">
      <c r="A22" s="14" t="s">
        <v>1250</v>
      </c>
      <c r="B22" s="17">
        <f>COUNTA('5_DB_Schema'!$H$4:$H$19)</f>
        <v>16</v>
      </c>
      <c r="C22" s="17">
        <f>COUNTIF('5_DB_Schema'!$H$4:$H$19,"Not started")</f>
        <v>16</v>
      </c>
      <c r="D22" s="17">
        <f>COUNTIF('5_DB_Schema'!$H$4:$H$19,"In progress")+COUNTIF('5_DB_Schema'!$H$4:$H$19,"Fetched")+COUNTIF('5_DB_Schema'!$H$4:$H$19,"Cleaned")</f>
        <v>0</v>
      </c>
      <c r="E22" s="17">
        <f>COUNTIF('5_DB_Schema'!$H$4:$H$19,"Done")+COUNTIF('5_DB_Schema'!$H$4:$H$19,"Validated")+COUNTIF('5_DB_Schema'!$H$4:$H$19,"Loaded")</f>
        <v>0</v>
      </c>
    </row>
    <row r="23" spans="1:5" x14ac:dyDescent="0.35">
      <c r="A23" s="14" t="s">
        <v>1251</v>
      </c>
      <c r="B23" s="17">
        <f>COUNTA('8_Watchlist'!$G$4:$G$21)</f>
        <v>18</v>
      </c>
      <c r="C23" s="17">
        <f>COUNTIF('8_Watchlist'!$G$4:$G$21,"Not started")</f>
        <v>18</v>
      </c>
      <c r="D23" s="17">
        <f>COUNTIF('8_Watchlist'!$G$4:$G$21,"In progress")+COUNTIF('8_Watchlist'!$G$4:$G$21,"Fetched")+COUNTIF('8_Watchlist'!$G$4:$G$21,"Cleaned")</f>
        <v>0</v>
      </c>
      <c r="E23" s="17">
        <f>COUNTIF('8_Watchlist'!$G$4:$G$21,"Done")+COUNTIF('8_Watchlist'!$G$4:$G$21,"Validated")+COUNTIF('8_Watchlist'!$G$4:$G$21,"Loaded")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zoomScale="9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26" customWidth="1"/>
    <col min="3" max="3" width="36" customWidth="1"/>
    <col min="4" max="4" width="8" customWidth="1"/>
    <col min="5" max="5" width="14" customWidth="1"/>
    <col min="6" max="7" width="26" customWidth="1"/>
    <col min="8" max="8" width="44" customWidth="1"/>
    <col min="9" max="9" width="26" customWidth="1"/>
    <col min="10" max="10" width="18" customWidth="1"/>
    <col min="11" max="11" width="8" customWidth="1"/>
    <col min="12" max="12" width="12" customWidth="1"/>
    <col min="13" max="13" width="10" customWidth="1"/>
    <col min="14" max="14" width="24" customWidth="1"/>
  </cols>
  <sheetData>
    <row r="1" spans="1:14" ht="18" x14ac:dyDescent="0.4">
      <c r="A1" s="1" t="s">
        <v>1252</v>
      </c>
    </row>
    <row r="2" spans="1:14" x14ac:dyDescent="0.35">
      <c r="A2" s="2" t="s">
        <v>1253</v>
      </c>
    </row>
    <row r="3" spans="1:14" ht="26" x14ac:dyDescent="0.35">
      <c r="A3" s="8" t="s">
        <v>22</v>
      </c>
      <c r="B3" s="8" t="s">
        <v>1254</v>
      </c>
      <c r="C3" s="8" t="s">
        <v>1255</v>
      </c>
      <c r="D3" s="8" t="s">
        <v>1256</v>
      </c>
      <c r="E3" s="8" t="s">
        <v>1257</v>
      </c>
      <c r="F3" s="8" t="s">
        <v>1258</v>
      </c>
      <c r="G3" s="8" t="s">
        <v>1259</v>
      </c>
      <c r="H3" s="8" t="s">
        <v>1260</v>
      </c>
      <c r="I3" s="8" t="s">
        <v>1261</v>
      </c>
      <c r="J3" s="8" t="s">
        <v>1262</v>
      </c>
      <c r="K3" s="9" t="s">
        <v>24</v>
      </c>
      <c r="L3" s="9" t="s">
        <v>1263</v>
      </c>
      <c r="M3" s="9" t="s">
        <v>1264</v>
      </c>
      <c r="N3" s="9" t="s">
        <v>28</v>
      </c>
    </row>
    <row r="4" spans="1:14" ht="57.5" x14ac:dyDescent="0.35">
      <c r="A4" s="10" t="s">
        <v>1265</v>
      </c>
      <c r="B4" s="11" t="s">
        <v>1266</v>
      </c>
      <c r="C4" s="11" t="s">
        <v>1267</v>
      </c>
      <c r="D4" s="10" t="s">
        <v>1268</v>
      </c>
      <c r="E4" s="11" t="s">
        <v>1269</v>
      </c>
      <c r="F4" s="11" t="s">
        <v>1270</v>
      </c>
      <c r="G4" s="11" t="s">
        <v>1271</v>
      </c>
      <c r="H4" s="11" t="s">
        <v>1272</v>
      </c>
      <c r="I4" s="11" t="s">
        <v>1273</v>
      </c>
      <c r="J4" s="11" t="s">
        <v>1274</v>
      </c>
      <c r="K4" s="10" t="s">
        <v>31</v>
      </c>
      <c r="L4" s="10" t="s">
        <v>73</v>
      </c>
      <c r="M4" s="20">
        <v>0</v>
      </c>
      <c r="N4" s="11" t="s">
        <v>1275</v>
      </c>
    </row>
    <row r="5" spans="1:14" ht="69" x14ac:dyDescent="0.35">
      <c r="A5" s="10" t="s">
        <v>1276</v>
      </c>
      <c r="B5" s="11" t="s">
        <v>1277</v>
      </c>
      <c r="C5" s="11" t="s">
        <v>1278</v>
      </c>
      <c r="D5" s="10" t="s">
        <v>1268</v>
      </c>
      <c r="E5" s="11" t="s">
        <v>1269</v>
      </c>
      <c r="F5" s="11" t="s">
        <v>1279</v>
      </c>
      <c r="G5" s="11" t="s">
        <v>1280</v>
      </c>
      <c r="H5" s="11" t="s">
        <v>1281</v>
      </c>
      <c r="I5" s="11" t="s">
        <v>1282</v>
      </c>
      <c r="J5" s="11" t="s">
        <v>1283</v>
      </c>
      <c r="K5" s="10" t="s">
        <v>31</v>
      </c>
      <c r="L5" s="10" t="s">
        <v>73</v>
      </c>
      <c r="M5" s="20">
        <v>0</v>
      </c>
      <c r="N5" s="11" t="s">
        <v>1284</v>
      </c>
    </row>
    <row r="6" spans="1:14" ht="46" x14ac:dyDescent="0.35">
      <c r="A6" s="10" t="s">
        <v>1285</v>
      </c>
      <c r="B6" s="11" t="s">
        <v>1286</v>
      </c>
      <c r="C6" s="11" t="s">
        <v>1287</v>
      </c>
      <c r="D6" s="10" t="s">
        <v>1288</v>
      </c>
      <c r="E6" s="11" t="s">
        <v>1289</v>
      </c>
      <c r="F6" s="11" t="s">
        <v>1290</v>
      </c>
      <c r="G6" s="11" t="s">
        <v>1291</v>
      </c>
      <c r="H6" s="11" t="s">
        <v>1292</v>
      </c>
      <c r="I6" s="11" t="s">
        <v>1293</v>
      </c>
      <c r="J6" s="11" t="s">
        <v>1294</v>
      </c>
      <c r="K6" s="10" t="s">
        <v>31</v>
      </c>
      <c r="L6" s="10" t="s">
        <v>73</v>
      </c>
      <c r="M6" s="20">
        <v>0</v>
      </c>
      <c r="N6" s="11" t="s">
        <v>1295</v>
      </c>
    </row>
    <row r="7" spans="1:14" ht="46" x14ac:dyDescent="0.35">
      <c r="A7" s="10" t="s">
        <v>1296</v>
      </c>
      <c r="B7" s="11" t="s">
        <v>1297</v>
      </c>
      <c r="C7" s="11" t="s">
        <v>1298</v>
      </c>
      <c r="D7" s="10" t="s">
        <v>1299</v>
      </c>
      <c r="E7" s="11" t="s">
        <v>1300</v>
      </c>
      <c r="F7" s="11" t="s">
        <v>1301</v>
      </c>
      <c r="G7" s="11" t="s">
        <v>1302</v>
      </c>
      <c r="H7" s="11" t="s">
        <v>1303</v>
      </c>
      <c r="I7" s="11" t="s">
        <v>1304</v>
      </c>
      <c r="J7" s="11" t="s">
        <v>1305</v>
      </c>
      <c r="K7" s="10" t="s">
        <v>31</v>
      </c>
      <c r="L7" s="10" t="s">
        <v>73</v>
      </c>
      <c r="M7" s="20">
        <v>0</v>
      </c>
      <c r="N7" s="11" t="s">
        <v>1306</v>
      </c>
    </row>
    <row r="8" spans="1:14" ht="46" x14ac:dyDescent="0.35">
      <c r="A8" s="10" t="s">
        <v>1307</v>
      </c>
      <c r="B8" s="11" t="s">
        <v>1308</v>
      </c>
      <c r="C8" s="11" t="s">
        <v>1309</v>
      </c>
      <c r="D8" s="10" t="s">
        <v>1310</v>
      </c>
      <c r="E8" s="11" t="s">
        <v>1311</v>
      </c>
      <c r="F8" s="11" t="s">
        <v>1312</v>
      </c>
      <c r="G8" s="11" t="s">
        <v>1313</v>
      </c>
      <c r="H8" s="11" t="s">
        <v>1314</v>
      </c>
      <c r="I8" s="11" t="s">
        <v>1315</v>
      </c>
      <c r="J8" s="11" t="s">
        <v>1316</v>
      </c>
      <c r="K8" s="10" t="s">
        <v>85</v>
      </c>
      <c r="L8" s="10" t="s">
        <v>73</v>
      </c>
      <c r="M8" s="20">
        <v>0</v>
      </c>
      <c r="N8" s="11" t="s">
        <v>1317</v>
      </c>
    </row>
    <row r="9" spans="1:14" ht="57.5" x14ac:dyDescent="0.35">
      <c r="A9" s="10" t="s">
        <v>1318</v>
      </c>
      <c r="B9" s="11" t="s">
        <v>1319</v>
      </c>
      <c r="C9" s="11" t="s">
        <v>1320</v>
      </c>
      <c r="D9" s="10" t="s">
        <v>1321</v>
      </c>
      <c r="E9" s="11" t="s">
        <v>1322</v>
      </c>
      <c r="F9" s="11" t="s">
        <v>1323</v>
      </c>
      <c r="G9" s="11" t="s">
        <v>1324</v>
      </c>
      <c r="H9" s="11" t="s">
        <v>1325</v>
      </c>
      <c r="I9" s="11" t="s">
        <v>1326</v>
      </c>
      <c r="J9" s="11" t="s">
        <v>1327</v>
      </c>
      <c r="K9" s="10" t="s">
        <v>31</v>
      </c>
      <c r="L9" s="10" t="s">
        <v>73</v>
      </c>
      <c r="M9" s="20">
        <v>0</v>
      </c>
      <c r="N9" s="11" t="s">
        <v>1328</v>
      </c>
    </row>
    <row r="10" spans="1:14" ht="57.5" x14ac:dyDescent="0.35">
      <c r="A10" s="10" t="s">
        <v>1329</v>
      </c>
      <c r="B10" s="11" t="s">
        <v>1330</v>
      </c>
      <c r="C10" s="11" t="s">
        <v>1331</v>
      </c>
      <c r="D10" s="10" t="s">
        <v>1332</v>
      </c>
      <c r="E10" s="11" t="s">
        <v>1333</v>
      </c>
      <c r="F10" s="11" t="s">
        <v>1334</v>
      </c>
      <c r="G10" s="11" t="s">
        <v>1335</v>
      </c>
      <c r="H10" s="11" t="s">
        <v>1336</v>
      </c>
      <c r="I10" s="11" t="s">
        <v>1337</v>
      </c>
      <c r="J10" s="11" t="s">
        <v>1338</v>
      </c>
      <c r="K10" s="10" t="s">
        <v>31</v>
      </c>
      <c r="L10" s="10" t="s">
        <v>73</v>
      </c>
      <c r="M10" s="20">
        <v>0</v>
      </c>
      <c r="N10" s="11" t="s">
        <v>1339</v>
      </c>
    </row>
  </sheetData>
  <autoFilter ref="A3:N10" xr:uid="{00000000-0009-0000-0000-000003000000}"/>
  <conditionalFormatting sqref="L4:L60">
    <cfRule type="containsText" dxfId="39" priority="1" operator="containsText" text="Done">
      <formula>NOT(ISERROR(SEARCH("Done",L4)))</formula>
    </cfRule>
    <cfRule type="containsText" dxfId="38" priority="2" operator="containsText" text="Validated">
      <formula>NOT(ISERROR(SEARCH("Validated",L4)))</formula>
    </cfRule>
    <cfRule type="containsText" dxfId="37" priority="3" operator="containsText" text="Loaded">
      <formula>NOT(ISERROR(SEARCH("Loaded",L4)))</formula>
    </cfRule>
    <cfRule type="containsText" dxfId="36" priority="4" operator="containsText" text="In progress">
      <formula>NOT(ISERROR(SEARCH("In progress",L4)))</formula>
    </cfRule>
    <cfRule type="containsText" dxfId="35" priority="5" operator="containsText" text="Fetched">
      <formula>NOT(ISERROR(SEARCH("Fetched",L4)))</formula>
    </cfRule>
    <cfRule type="containsText" dxfId="34" priority="6" operator="containsText" text="Cleaned">
      <formula>NOT(ISERROR(SEARCH("Cleaned",L4)))</formula>
    </cfRule>
    <cfRule type="containsText" dxfId="33" priority="7" operator="containsText" text="Blocked">
      <formula>NOT(ISERROR(SEARCH("Blocked",L4)))</formula>
    </cfRule>
    <cfRule type="containsText" dxfId="32" priority="8" operator="containsText" text="Not started">
      <formula>NOT(ISERROR(SEARCH("Not started",L4)))</formula>
    </cfRule>
  </conditionalFormatting>
  <dataValidations count="2">
    <dataValidation type="list" allowBlank="1" sqref="L4:L60" xr:uid="{00000000-0002-0000-0300-000000000000}">
      <formula1>"Not started,In progress,Fetched,Cleaned,Loaded,Validated,Done,Blocked,N/A"</formula1>
    </dataValidation>
    <dataValidation type="list" allowBlank="1" sqref="K4:K60" xr:uid="{00000000-0002-0000-0300-000001000000}">
      <formula1>"P1,P2,P3"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"/>
  <sheetViews>
    <sheetView zoomScale="9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30" customWidth="1"/>
    <col min="3" max="3" width="16" customWidth="1"/>
    <col min="4" max="4" width="8" customWidth="1"/>
    <col min="5" max="6" width="34" customWidth="1"/>
    <col min="7" max="7" width="20" customWidth="1"/>
    <col min="8" max="8" width="28" customWidth="1"/>
    <col min="9" max="9" width="14" customWidth="1"/>
    <col min="10" max="10" width="8" customWidth="1"/>
    <col min="11" max="11" width="12" customWidth="1"/>
    <col min="12" max="12" width="24" customWidth="1"/>
  </cols>
  <sheetData>
    <row r="1" spans="1:12" ht="18" x14ac:dyDescent="0.4">
      <c r="A1" s="1" t="s">
        <v>1340</v>
      </c>
    </row>
    <row r="2" spans="1:12" x14ac:dyDescent="0.35">
      <c r="A2" s="2" t="s">
        <v>1341</v>
      </c>
    </row>
    <row r="3" spans="1:12" x14ac:dyDescent="0.35">
      <c r="A3" s="8" t="s">
        <v>22</v>
      </c>
      <c r="B3" s="8" t="s">
        <v>1342</v>
      </c>
      <c r="C3" s="8" t="s">
        <v>1343</v>
      </c>
      <c r="D3" s="8" t="s">
        <v>1256</v>
      </c>
      <c r="E3" s="8" t="s">
        <v>1344</v>
      </c>
      <c r="F3" s="8" t="s">
        <v>1259</v>
      </c>
      <c r="G3" s="8" t="s">
        <v>1345</v>
      </c>
      <c r="H3" s="8" t="s">
        <v>1261</v>
      </c>
      <c r="I3" s="8" t="s">
        <v>1346</v>
      </c>
      <c r="J3" s="9" t="s">
        <v>24</v>
      </c>
      <c r="K3" s="9" t="s">
        <v>25</v>
      </c>
      <c r="L3" s="9" t="s">
        <v>28</v>
      </c>
    </row>
    <row r="4" spans="1:12" ht="23" x14ac:dyDescent="0.35">
      <c r="A4" s="10" t="s">
        <v>1347</v>
      </c>
      <c r="B4" s="11" t="s">
        <v>1348</v>
      </c>
      <c r="C4" s="11" t="s">
        <v>64</v>
      </c>
      <c r="D4" s="10" t="s">
        <v>1349</v>
      </c>
      <c r="E4" s="11" t="s">
        <v>1350</v>
      </c>
      <c r="F4" s="11" t="s">
        <v>1351</v>
      </c>
      <c r="G4" s="11" t="s">
        <v>1352</v>
      </c>
      <c r="H4" s="11" t="s">
        <v>1353</v>
      </c>
      <c r="I4" s="11" t="s">
        <v>1354</v>
      </c>
      <c r="J4" s="10" t="s">
        <v>31</v>
      </c>
      <c r="K4" s="10" t="s">
        <v>73</v>
      </c>
      <c r="L4" s="11" t="s">
        <v>1355</v>
      </c>
    </row>
    <row r="5" spans="1:12" ht="23" x14ac:dyDescent="0.35">
      <c r="A5" s="10" t="s">
        <v>1356</v>
      </c>
      <c r="B5" s="11" t="s">
        <v>1357</v>
      </c>
      <c r="C5" s="11" t="s">
        <v>144</v>
      </c>
      <c r="D5" s="10" t="s">
        <v>1349</v>
      </c>
      <c r="E5" s="11" t="s">
        <v>1358</v>
      </c>
      <c r="F5" s="11" t="s">
        <v>1359</v>
      </c>
      <c r="G5" s="11" t="s">
        <v>1360</v>
      </c>
      <c r="H5" s="11" t="s">
        <v>1361</v>
      </c>
      <c r="I5" s="11" t="s">
        <v>1362</v>
      </c>
      <c r="J5" s="10" t="s">
        <v>31</v>
      </c>
      <c r="K5" s="10" t="s">
        <v>73</v>
      </c>
      <c r="L5" s="11" t="s">
        <v>1363</v>
      </c>
    </row>
    <row r="6" spans="1:12" ht="23" x14ac:dyDescent="0.35">
      <c r="A6" s="10" t="s">
        <v>1364</v>
      </c>
      <c r="B6" s="11" t="s">
        <v>1365</v>
      </c>
      <c r="C6" s="11" t="s">
        <v>165</v>
      </c>
      <c r="D6" s="10" t="s">
        <v>1349</v>
      </c>
      <c r="E6" s="11" t="s">
        <v>1366</v>
      </c>
      <c r="F6" s="11" t="s">
        <v>1367</v>
      </c>
      <c r="G6" s="11" t="s">
        <v>1368</v>
      </c>
      <c r="H6" s="11" t="s">
        <v>1369</v>
      </c>
      <c r="I6" s="11" t="s">
        <v>1370</v>
      </c>
      <c r="J6" s="10" t="s">
        <v>31</v>
      </c>
      <c r="K6" s="10" t="s">
        <v>73</v>
      </c>
      <c r="L6" s="11" t="s">
        <v>1371</v>
      </c>
    </row>
    <row r="7" spans="1:12" ht="23" x14ac:dyDescent="0.35">
      <c r="A7" s="10" t="s">
        <v>1372</v>
      </c>
      <c r="B7" s="11" t="s">
        <v>1373</v>
      </c>
      <c r="C7" s="11" t="s">
        <v>256</v>
      </c>
      <c r="D7" s="10" t="s">
        <v>1349</v>
      </c>
      <c r="E7" s="11" t="s">
        <v>1374</v>
      </c>
      <c r="F7" s="11" t="s">
        <v>1375</v>
      </c>
      <c r="G7" s="11" t="s">
        <v>1376</v>
      </c>
      <c r="H7" s="11" t="s">
        <v>1377</v>
      </c>
      <c r="I7" s="11" t="s">
        <v>1378</v>
      </c>
      <c r="J7" s="10" t="s">
        <v>31</v>
      </c>
      <c r="K7" s="10" t="s">
        <v>73</v>
      </c>
      <c r="L7" s="11" t="s">
        <v>1379</v>
      </c>
    </row>
    <row r="8" spans="1:12" ht="23" x14ac:dyDescent="0.35">
      <c r="A8" s="10" t="s">
        <v>1380</v>
      </c>
      <c r="B8" s="11" t="s">
        <v>1381</v>
      </c>
      <c r="C8" s="11" t="s">
        <v>211</v>
      </c>
      <c r="D8" s="10" t="s">
        <v>1349</v>
      </c>
      <c r="E8" s="11" t="s">
        <v>1382</v>
      </c>
      <c r="F8" s="11" t="s">
        <v>1383</v>
      </c>
      <c r="G8" s="11" t="s">
        <v>1384</v>
      </c>
      <c r="H8" s="11" t="s">
        <v>1385</v>
      </c>
      <c r="I8" s="11" t="s">
        <v>1386</v>
      </c>
      <c r="J8" s="10" t="s">
        <v>31</v>
      </c>
      <c r="K8" s="10" t="s">
        <v>73</v>
      </c>
      <c r="L8" s="11" t="s">
        <v>1387</v>
      </c>
    </row>
    <row r="9" spans="1:12" ht="23" x14ac:dyDescent="0.35">
      <c r="A9" s="10" t="s">
        <v>1388</v>
      </c>
      <c r="B9" s="11" t="s">
        <v>1389</v>
      </c>
      <c r="C9" s="11" t="s">
        <v>1390</v>
      </c>
      <c r="D9" s="10" t="s">
        <v>1349</v>
      </c>
      <c r="E9" s="11" t="s">
        <v>1391</v>
      </c>
      <c r="F9" s="11" t="s">
        <v>1392</v>
      </c>
      <c r="G9" s="11" t="s">
        <v>1393</v>
      </c>
      <c r="H9" s="11" t="s">
        <v>1394</v>
      </c>
      <c r="I9" s="11" t="s">
        <v>1395</v>
      </c>
      <c r="J9" s="10" t="s">
        <v>31</v>
      </c>
      <c r="K9" s="10" t="s">
        <v>73</v>
      </c>
      <c r="L9" s="11"/>
    </row>
    <row r="10" spans="1:12" ht="34.5" x14ac:dyDescent="0.35">
      <c r="A10" s="10" t="s">
        <v>1396</v>
      </c>
      <c r="B10" s="11" t="s">
        <v>1397</v>
      </c>
      <c r="C10" s="11" t="s">
        <v>352</v>
      </c>
      <c r="D10" s="10" t="s">
        <v>1349</v>
      </c>
      <c r="E10" s="11" t="s">
        <v>1398</v>
      </c>
      <c r="F10" s="11" t="s">
        <v>1399</v>
      </c>
      <c r="G10" s="11" t="s">
        <v>1400</v>
      </c>
      <c r="H10" s="11" t="s">
        <v>1401</v>
      </c>
      <c r="I10" s="11" t="s">
        <v>1402</v>
      </c>
      <c r="J10" s="10" t="s">
        <v>31</v>
      </c>
      <c r="K10" s="10" t="s">
        <v>73</v>
      </c>
      <c r="L10" s="11"/>
    </row>
    <row r="11" spans="1:12" ht="23" x14ac:dyDescent="0.35">
      <c r="A11" s="10" t="s">
        <v>1403</v>
      </c>
      <c r="B11" s="11" t="s">
        <v>1404</v>
      </c>
      <c r="C11" s="11" t="s">
        <v>352</v>
      </c>
      <c r="D11" s="10" t="s">
        <v>1349</v>
      </c>
      <c r="E11" s="11" t="s">
        <v>1405</v>
      </c>
      <c r="F11" s="11" t="s">
        <v>1406</v>
      </c>
      <c r="G11" s="11" t="s">
        <v>1407</v>
      </c>
      <c r="H11" s="11" t="s">
        <v>1408</v>
      </c>
      <c r="I11" s="11" t="s">
        <v>1265</v>
      </c>
      <c r="J11" s="10" t="s">
        <v>31</v>
      </c>
      <c r="K11" s="10" t="s">
        <v>73</v>
      </c>
      <c r="L11" s="11" t="s">
        <v>1409</v>
      </c>
    </row>
    <row r="12" spans="1:12" ht="23" x14ac:dyDescent="0.35">
      <c r="A12" s="10" t="s">
        <v>1410</v>
      </c>
      <c r="B12" s="11" t="s">
        <v>1411</v>
      </c>
      <c r="C12" s="11" t="s">
        <v>247</v>
      </c>
      <c r="D12" s="10" t="s">
        <v>1349</v>
      </c>
      <c r="E12" s="11" t="s">
        <v>1412</v>
      </c>
      <c r="F12" s="11" t="s">
        <v>1413</v>
      </c>
      <c r="G12" s="11" t="s">
        <v>1414</v>
      </c>
      <c r="H12" s="11" t="s">
        <v>1415</v>
      </c>
      <c r="I12" s="11" t="s">
        <v>1416</v>
      </c>
      <c r="J12" s="10" t="s">
        <v>85</v>
      </c>
      <c r="K12" s="10" t="s">
        <v>73</v>
      </c>
      <c r="L12" s="11" t="s">
        <v>1417</v>
      </c>
    </row>
    <row r="13" spans="1:12" ht="23" x14ac:dyDescent="0.35">
      <c r="A13" s="10" t="s">
        <v>1418</v>
      </c>
      <c r="B13" s="11" t="s">
        <v>1419</v>
      </c>
      <c r="C13" s="11" t="s">
        <v>1420</v>
      </c>
      <c r="D13" s="10" t="s">
        <v>1349</v>
      </c>
      <c r="E13" s="11" t="s">
        <v>1421</v>
      </c>
      <c r="F13" s="11" t="s">
        <v>1422</v>
      </c>
      <c r="G13" s="11" t="s">
        <v>1423</v>
      </c>
      <c r="H13" s="11" t="s">
        <v>1424</v>
      </c>
      <c r="I13" s="11" t="s">
        <v>1425</v>
      </c>
      <c r="J13" s="10" t="s">
        <v>31</v>
      </c>
      <c r="K13" s="10" t="s">
        <v>73</v>
      </c>
      <c r="L13" s="11" t="s">
        <v>1426</v>
      </c>
    </row>
    <row r="14" spans="1:12" ht="34.5" x14ac:dyDescent="0.35">
      <c r="A14" s="10" t="s">
        <v>1427</v>
      </c>
      <c r="B14" s="11" t="s">
        <v>1428</v>
      </c>
      <c r="C14" s="11" t="s">
        <v>1420</v>
      </c>
      <c r="D14" s="10" t="s">
        <v>1349</v>
      </c>
      <c r="E14" s="11" t="s">
        <v>1323</v>
      </c>
      <c r="F14" s="11" t="s">
        <v>1429</v>
      </c>
      <c r="G14" s="11" t="s">
        <v>1430</v>
      </c>
      <c r="H14" s="11" t="s">
        <v>1431</v>
      </c>
      <c r="I14" s="11" t="s">
        <v>1432</v>
      </c>
      <c r="J14" s="10" t="s">
        <v>31</v>
      </c>
      <c r="K14" s="10" t="s">
        <v>73</v>
      </c>
      <c r="L14" s="11" t="s">
        <v>1433</v>
      </c>
    </row>
    <row r="15" spans="1:12" ht="23" x14ac:dyDescent="0.35">
      <c r="A15" s="10" t="s">
        <v>1434</v>
      </c>
      <c r="B15" s="11" t="s">
        <v>1435</v>
      </c>
      <c r="C15" s="11" t="s">
        <v>475</v>
      </c>
      <c r="D15" s="10" t="s">
        <v>1349</v>
      </c>
      <c r="E15" s="11" t="s">
        <v>1323</v>
      </c>
      <c r="F15" s="11" t="s">
        <v>1436</v>
      </c>
      <c r="G15" s="11" t="s">
        <v>1437</v>
      </c>
      <c r="H15" s="11" t="s">
        <v>1438</v>
      </c>
      <c r="I15" s="11" t="s">
        <v>1296</v>
      </c>
      <c r="J15" s="10" t="s">
        <v>85</v>
      </c>
      <c r="K15" s="10" t="s">
        <v>73</v>
      </c>
      <c r="L15" s="11"/>
    </row>
  </sheetData>
  <autoFilter ref="A3:L15" xr:uid="{00000000-0009-0000-0000-000004000000}"/>
  <conditionalFormatting sqref="K4:K60">
    <cfRule type="containsText" dxfId="31" priority="1" operator="containsText" text="Done">
      <formula>NOT(ISERROR(SEARCH("Done",K4)))</formula>
    </cfRule>
    <cfRule type="containsText" dxfId="30" priority="2" operator="containsText" text="Validated">
      <formula>NOT(ISERROR(SEARCH("Validated",K4)))</formula>
    </cfRule>
    <cfRule type="containsText" dxfId="29" priority="3" operator="containsText" text="Loaded">
      <formula>NOT(ISERROR(SEARCH("Loaded",K4)))</formula>
    </cfRule>
    <cfRule type="containsText" dxfId="28" priority="4" operator="containsText" text="In progress">
      <formula>NOT(ISERROR(SEARCH("In progress",K4)))</formula>
    </cfRule>
    <cfRule type="containsText" dxfId="27" priority="5" operator="containsText" text="Fetched">
      <formula>NOT(ISERROR(SEARCH("Fetched",K4)))</formula>
    </cfRule>
    <cfRule type="containsText" dxfId="26" priority="6" operator="containsText" text="Cleaned">
      <formula>NOT(ISERROR(SEARCH("Cleaned",K4)))</formula>
    </cfRule>
    <cfRule type="containsText" dxfId="25" priority="7" operator="containsText" text="Blocked">
      <formula>NOT(ISERROR(SEARCH("Blocked",K4)))</formula>
    </cfRule>
    <cfRule type="containsText" dxfId="24" priority="8" operator="containsText" text="Not started">
      <formula>NOT(ISERROR(SEARCH("Not started",K4)))</formula>
    </cfRule>
  </conditionalFormatting>
  <dataValidations count="2">
    <dataValidation type="list" allowBlank="1" sqref="K4:K60" xr:uid="{00000000-0002-0000-0400-000000000000}">
      <formula1>"Not started,In progress,Fetched,Cleaned,Loaded,Validated,Done,Blocked,N/A"</formula1>
    </dataValidation>
    <dataValidation type="list" allowBlank="1" sqref="J4:J60" xr:uid="{00000000-0002-0000-0400-000001000000}">
      <formula1>"P1,P2,P3"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"/>
  <sheetViews>
    <sheetView zoomScale="9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32" customWidth="1"/>
    <col min="3" max="3" width="14" customWidth="1"/>
    <col min="4" max="4" width="22" customWidth="1"/>
    <col min="5" max="5" width="34" customWidth="1"/>
    <col min="6" max="6" width="24" customWidth="1"/>
    <col min="7" max="7" width="14" customWidth="1"/>
    <col min="8" max="8" width="12" customWidth="1"/>
    <col min="9" max="9" width="7" customWidth="1"/>
    <col min="10" max="10" width="8" customWidth="1"/>
    <col min="11" max="11" width="12" customWidth="1"/>
    <col min="12" max="12" width="26" customWidth="1"/>
  </cols>
  <sheetData>
    <row r="1" spans="1:12" ht="18" x14ac:dyDescent="0.4">
      <c r="A1" s="1" t="s">
        <v>1439</v>
      </c>
    </row>
    <row r="2" spans="1:12" x14ac:dyDescent="0.35">
      <c r="A2" s="2" t="s">
        <v>1440</v>
      </c>
    </row>
    <row r="3" spans="1:12" ht="26" x14ac:dyDescent="0.35">
      <c r="A3" s="8" t="s">
        <v>22</v>
      </c>
      <c r="B3" s="8" t="s">
        <v>1441</v>
      </c>
      <c r="C3" s="8" t="s">
        <v>1442</v>
      </c>
      <c r="D3" s="8" t="s">
        <v>1443</v>
      </c>
      <c r="E3" s="8" t="s">
        <v>1444</v>
      </c>
      <c r="F3" s="8" t="s">
        <v>1445</v>
      </c>
      <c r="G3" s="9" t="s">
        <v>1446</v>
      </c>
      <c r="H3" s="9" t="s">
        <v>1447</v>
      </c>
      <c r="I3" s="9" t="s">
        <v>1448</v>
      </c>
      <c r="J3" s="9" t="s">
        <v>24</v>
      </c>
      <c r="K3" s="9" t="s">
        <v>25</v>
      </c>
      <c r="L3" s="9" t="s">
        <v>28</v>
      </c>
    </row>
    <row r="4" spans="1:12" ht="23" x14ac:dyDescent="0.35">
      <c r="A4" s="10" t="s">
        <v>1354</v>
      </c>
      <c r="B4" s="11" t="s">
        <v>1449</v>
      </c>
      <c r="C4" s="11" t="s">
        <v>29</v>
      </c>
      <c r="D4" s="11" t="s">
        <v>1450</v>
      </c>
      <c r="E4" s="11" t="s">
        <v>1451</v>
      </c>
      <c r="F4" s="11" t="s">
        <v>1452</v>
      </c>
      <c r="G4" s="11" t="s">
        <v>1453</v>
      </c>
      <c r="H4" s="10" t="s">
        <v>72</v>
      </c>
      <c r="I4" s="10" t="s">
        <v>1454</v>
      </c>
      <c r="J4" s="10" t="s">
        <v>31</v>
      </c>
      <c r="K4" s="10" t="s">
        <v>73</v>
      </c>
      <c r="L4" s="11" t="s">
        <v>1455</v>
      </c>
    </row>
    <row r="5" spans="1:12" x14ac:dyDescent="0.35">
      <c r="A5" s="10" t="s">
        <v>1456</v>
      </c>
      <c r="B5" s="11" t="s">
        <v>1457</v>
      </c>
      <c r="C5" s="11" t="s">
        <v>78</v>
      </c>
      <c r="D5" s="11" t="s">
        <v>83</v>
      </c>
      <c r="E5" s="11" t="s">
        <v>1458</v>
      </c>
      <c r="F5" s="11" t="s">
        <v>100</v>
      </c>
      <c r="G5" s="11" t="s">
        <v>1459</v>
      </c>
      <c r="H5" s="10" t="s">
        <v>72</v>
      </c>
      <c r="I5" s="10" t="s">
        <v>1460</v>
      </c>
      <c r="J5" s="10" t="s">
        <v>85</v>
      </c>
      <c r="K5" s="10" t="s">
        <v>73</v>
      </c>
      <c r="L5" s="11"/>
    </row>
    <row r="6" spans="1:12" ht="23" x14ac:dyDescent="0.35">
      <c r="A6" s="10" t="s">
        <v>1461</v>
      </c>
      <c r="B6" s="11" t="s">
        <v>1462</v>
      </c>
      <c r="C6" s="11" t="s">
        <v>141</v>
      </c>
      <c r="D6" s="11" t="s">
        <v>1463</v>
      </c>
      <c r="E6" s="11" t="s">
        <v>1464</v>
      </c>
      <c r="F6" s="11" t="s">
        <v>1465</v>
      </c>
      <c r="G6" s="11" t="s">
        <v>157</v>
      </c>
      <c r="H6" s="10" t="s">
        <v>95</v>
      </c>
      <c r="I6" s="10" t="s">
        <v>1454</v>
      </c>
      <c r="J6" s="10" t="s">
        <v>31</v>
      </c>
      <c r="K6" s="10" t="s">
        <v>73</v>
      </c>
      <c r="L6" s="11" t="s">
        <v>1466</v>
      </c>
    </row>
    <row r="7" spans="1:12" ht="23" x14ac:dyDescent="0.35">
      <c r="A7" s="10" t="s">
        <v>1467</v>
      </c>
      <c r="B7" s="11" t="s">
        <v>1468</v>
      </c>
      <c r="C7" s="11" t="s">
        <v>161</v>
      </c>
      <c r="D7" s="11" t="s">
        <v>169</v>
      </c>
      <c r="E7" s="11" t="s">
        <v>1469</v>
      </c>
      <c r="F7" s="11" t="s">
        <v>171</v>
      </c>
      <c r="G7" s="11" t="s">
        <v>168</v>
      </c>
      <c r="H7" s="10" t="s">
        <v>95</v>
      </c>
      <c r="I7" s="10" t="s">
        <v>1460</v>
      </c>
      <c r="J7" s="10" t="s">
        <v>31</v>
      </c>
      <c r="K7" s="10" t="s">
        <v>73</v>
      </c>
      <c r="L7" s="11" t="s">
        <v>1470</v>
      </c>
    </row>
    <row r="8" spans="1:12" x14ac:dyDescent="0.35">
      <c r="A8" s="10" t="s">
        <v>1471</v>
      </c>
      <c r="B8" s="11" t="s">
        <v>1472</v>
      </c>
      <c r="C8" s="11" t="s">
        <v>198</v>
      </c>
      <c r="D8" s="11" t="s">
        <v>205</v>
      </c>
      <c r="E8" s="11" t="s">
        <v>1473</v>
      </c>
      <c r="F8" s="11" t="s">
        <v>34</v>
      </c>
      <c r="G8" s="11" t="s">
        <v>1474</v>
      </c>
      <c r="H8" s="10" t="s">
        <v>72</v>
      </c>
      <c r="I8" s="10" t="s">
        <v>1475</v>
      </c>
      <c r="J8" s="10" t="s">
        <v>31</v>
      </c>
      <c r="K8" s="10" t="s">
        <v>73</v>
      </c>
      <c r="L8" s="11"/>
    </row>
    <row r="9" spans="1:12" x14ac:dyDescent="0.35">
      <c r="A9" s="10" t="s">
        <v>1386</v>
      </c>
      <c r="B9" s="11" t="s">
        <v>1476</v>
      </c>
      <c r="C9" s="11" t="s">
        <v>222</v>
      </c>
      <c r="D9" s="11" t="s">
        <v>1477</v>
      </c>
      <c r="E9" s="11" t="s">
        <v>1478</v>
      </c>
      <c r="F9" s="11" t="s">
        <v>231</v>
      </c>
      <c r="G9" s="11" t="s">
        <v>383</v>
      </c>
      <c r="H9" s="10" t="s">
        <v>72</v>
      </c>
      <c r="I9" s="10" t="s">
        <v>1475</v>
      </c>
      <c r="J9" s="10" t="s">
        <v>31</v>
      </c>
      <c r="K9" s="10" t="s">
        <v>73</v>
      </c>
      <c r="L9" s="11"/>
    </row>
    <row r="10" spans="1:12" ht="34.5" x14ac:dyDescent="0.35">
      <c r="A10" s="10" t="s">
        <v>1378</v>
      </c>
      <c r="B10" s="11" t="s">
        <v>1479</v>
      </c>
      <c r="C10" s="11" t="s">
        <v>1480</v>
      </c>
      <c r="D10" s="11" t="s">
        <v>1481</v>
      </c>
      <c r="E10" s="11" t="s">
        <v>1482</v>
      </c>
      <c r="F10" s="11" t="s">
        <v>1483</v>
      </c>
      <c r="G10" s="11" t="s">
        <v>213</v>
      </c>
      <c r="H10" s="10" t="s">
        <v>218</v>
      </c>
      <c r="I10" s="10" t="s">
        <v>1475</v>
      </c>
      <c r="J10" s="10" t="s">
        <v>31</v>
      </c>
      <c r="K10" s="10" t="s">
        <v>73</v>
      </c>
      <c r="L10" s="11"/>
    </row>
    <row r="11" spans="1:12" x14ac:dyDescent="0.35">
      <c r="A11" s="10" t="s">
        <v>1484</v>
      </c>
      <c r="B11" s="11" t="s">
        <v>1485</v>
      </c>
      <c r="C11" s="11" t="s">
        <v>276</v>
      </c>
      <c r="D11" s="11" t="s">
        <v>1486</v>
      </c>
      <c r="E11" s="11" t="s">
        <v>1487</v>
      </c>
      <c r="F11" s="11" t="s">
        <v>285</v>
      </c>
      <c r="G11" s="11" t="s">
        <v>213</v>
      </c>
      <c r="H11" s="10" t="s">
        <v>218</v>
      </c>
      <c r="I11" s="10" t="s">
        <v>1475</v>
      </c>
      <c r="J11" s="10" t="s">
        <v>85</v>
      </c>
      <c r="K11" s="10" t="s">
        <v>73</v>
      </c>
      <c r="L11" s="11"/>
    </row>
    <row r="12" spans="1:12" x14ac:dyDescent="0.35">
      <c r="A12" s="10" t="s">
        <v>1488</v>
      </c>
      <c r="B12" s="11" t="s">
        <v>1489</v>
      </c>
      <c r="C12" s="11" t="s">
        <v>323</v>
      </c>
      <c r="D12" s="11" t="s">
        <v>1490</v>
      </c>
      <c r="E12" s="11" t="s">
        <v>1491</v>
      </c>
      <c r="F12" s="11" t="s">
        <v>331</v>
      </c>
      <c r="G12" s="11" t="s">
        <v>329</v>
      </c>
      <c r="H12" s="10" t="s">
        <v>218</v>
      </c>
      <c r="I12" s="10" t="s">
        <v>1475</v>
      </c>
      <c r="J12" s="10" t="s">
        <v>85</v>
      </c>
      <c r="K12" s="10" t="s">
        <v>73</v>
      </c>
      <c r="L12" s="11"/>
    </row>
    <row r="13" spans="1:12" x14ac:dyDescent="0.35">
      <c r="A13" s="10" t="s">
        <v>1492</v>
      </c>
      <c r="B13" s="11" t="s">
        <v>1493</v>
      </c>
      <c r="C13" s="11" t="s">
        <v>1494</v>
      </c>
      <c r="D13" s="11" t="s">
        <v>1495</v>
      </c>
      <c r="E13" s="11" t="s">
        <v>1496</v>
      </c>
      <c r="F13" s="11" t="s">
        <v>407</v>
      </c>
      <c r="G13" s="11" t="s">
        <v>1497</v>
      </c>
      <c r="H13" s="10" t="s">
        <v>72</v>
      </c>
      <c r="I13" s="10" t="s">
        <v>1475</v>
      </c>
      <c r="J13" s="10" t="s">
        <v>31</v>
      </c>
      <c r="K13" s="10" t="s">
        <v>73</v>
      </c>
      <c r="L13" s="11"/>
    </row>
    <row r="14" spans="1:12" x14ac:dyDescent="0.35">
      <c r="A14" s="10" t="s">
        <v>1498</v>
      </c>
      <c r="B14" s="11" t="s">
        <v>1499</v>
      </c>
      <c r="C14" s="11" t="s">
        <v>1500</v>
      </c>
      <c r="D14" s="11" t="s">
        <v>1501</v>
      </c>
      <c r="E14" s="11" t="s">
        <v>1502</v>
      </c>
      <c r="F14" s="11" t="s">
        <v>583</v>
      </c>
      <c r="G14" s="11" t="s">
        <v>385</v>
      </c>
      <c r="H14" s="10" t="s">
        <v>72</v>
      </c>
      <c r="I14" s="10" t="s">
        <v>1460</v>
      </c>
      <c r="J14" s="10" t="s">
        <v>99</v>
      </c>
      <c r="K14" s="10" t="s">
        <v>73</v>
      </c>
      <c r="L14" s="11"/>
    </row>
    <row r="15" spans="1:12" ht="23" x14ac:dyDescent="0.35">
      <c r="A15" s="10" t="s">
        <v>1305</v>
      </c>
      <c r="B15" s="11" t="s">
        <v>1503</v>
      </c>
      <c r="C15" s="11" t="s">
        <v>552</v>
      </c>
      <c r="D15" s="11" t="s">
        <v>1504</v>
      </c>
      <c r="E15" s="11" t="s">
        <v>1505</v>
      </c>
      <c r="F15" s="11" t="s">
        <v>563</v>
      </c>
      <c r="G15" s="11" t="s">
        <v>1506</v>
      </c>
      <c r="H15" s="10" t="s">
        <v>481</v>
      </c>
      <c r="I15" s="10" t="s">
        <v>1460</v>
      </c>
      <c r="J15" s="10" t="s">
        <v>31</v>
      </c>
      <c r="K15" s="10" t="s">
        <v>73</v>
      </c>
      <c r="L15" s="11" t="s">
        <v>1507</v>
      </c>
    </row>
    <row r="16" spans="1:12" ht="23" x14ac:dyDescent="0.35">
      <c r="A16" s="10" t="s">
        <v>1508</v>
      </c>
      <c r="B16" s="11" t="s">
        <v>1509</v>
      </c>
      <c r="C16" s="11" t="s">
        <v>1510</v>
      </c>
      <c r="D16" s="11" t="s">
        <v>1511</v>
      </c>
      <c r="E16" s="11" t="s">
        <v>1512</v>
      </c>
      <c r="F16" s="11" t="s">
        <v>1513</v>
      </c>
      <c r="G16" s="11" t="s">
        <v>581</v>
      </c>
      <c r="H16" s="10" t="s">
        <v>1514</v>
      </c>
      <c r="I16" s="10" t="s">
        <v>1475</v>
      </c>
      <c r="J16" s="10" t="s">
        <v>85</v>
      </c>
      <c r="K16" s="10" t="s">
        <v>73</v>
      </c>
      <c r="L16" s="11"/>
    </row>
    <row r="17" spans="1:12" x14ac:dyDescent="0.35">
      <c r="A17" s="10" t="s">
        <v>1515</v>
      </c>
      <c r="B17" s="11" t="s">
        <v>1516</v>
      </c>
      <c r="C17" s="11" t="s">
        <v>602</v>
      </c>
      <c r="D17" s="11" t="s">
        <v>1517</v>
      </c>
      <c r="E17" s="11" t="s">
        <v>1518</v>
      </c>
      <c r="F17" s="11" t="s">
        <v>600</v>
      </c>
      <c r="G17" s="11" t="s">
        <v>607</v>
      </c>
      <c r="H17" s="10" t="s">
        <v>72</v>
      </c>
      <c r="I17" s="10" t="s">
        <v>1475</v>
      </c>
      <c r="J17" s="10" t="s">
        <v>31</v>
      </c>
      <c r="K17" s="10" t="s">
        <v>73</v>
      </c>
      <c r="L17" s="11"/>
    </row>
    <row r="18" spans="1:12" x14ac:dyDescent="0.35">
      <c r="A18" s="10" t="s">
        <v>1519</v>
      </c>
      <c r="B18" s="11" t="s">
        <v>1520</v>
      </c>
      <c r="C18" s="11" t="s">
        <v>1521</v>
      </c>
      <c r="D18" s="11" t="s">
        <v>1522</v>
      </c>
      <c r="E18" s="11" t="s">
        <v>1523</v>
      </c>
      <c r="F18" s="11" t="s">
        <v>407</v>
      </c>
      <c r="G18" s="11" t="s">
        <v>638</v>
      </c>
      <c r="H18" s="10" t="s">
        <v>112</v>
      </c>
      <c r="I18" s="10" t="s">
        <v>1475</v>
      </c>
      <c r="J18" s="10" t="s">
        <v>85</v>
      </c>
      <c r="K18" s="10" t="s">
        <v>73</v>
      </c>
      <c r="L18" s="11"/>
    </row>
    <row r="19" spans="1:12" ht="34.5" x14ac:dyDescent="0.35">
      <c r="A19" s="10" t="s">
        <v>1524</v>
      </c>
      <c r="B19" s="11" t="s">
        <v>1525</v>
      </c>
      <c r="C19" s="11" t="s">
        <v>1526</v>
      </c>
      <c r="D19" s="11" t="s">
        <v>1527</v>
      </c>
      <c r="E19" s="11" t="s">
        <v>1528</v>
      </c>
      <c r="F19" s="11" t="s">
        <v>407</v>
      </c>
      <c r="G19" s="11" t="s">
        <v>429</v>
      </c>
      <c r="H19" s="10" t="s">
        <v>112</v>
      </c>
      <c r="I19" s="10" t="s">
        <v>1460</v>
      </c>
      <c r="J19" s="10" t="s">
        <v>31</v>
      </c>
      <c r="K19" s="10" t="s">
        <v>73</v>
      </c>
      <c r="L19" s="11" t="s">
        <v>1529</v>
      </c>
    </row>
    <row r="20" spans="1:12" ht="23" x14ac:dyDescent="0.35">
      <c r="A20" s="10" t="s">
        <v>1530</v>
      </c>
      <c r="B20" s="11" t="s">
        <v>1531</v>
      </c>
      <c r="C20" s="11" t="s">
        <v>1532</v>
      </c>
      <c r="D20" s="11" t="s">
        <v>1533</v>
      </c>
      <c r="E20" s="11" t="s">
        <v>1534</v>
      </c>
      <c r="F20" s="11" t="s">
        <v>1535</v>
      </c>
      <c r="G20" s="11" t="s">
        <v>820</v>
      </c>
      <c r="H20" s="10" t="s">
        <v>1514</v>
      </c>
      <c r="I20" s="10" t="s">
        <v>1460</v>
      </c>
      <c r="J20" s="10" t="s">
        <v>31</v>
      </c>
      <c r="K20" s="10" t="s">
        <v>73</v>
      </c>
      <c r="L20" s="11"/>
    </row>
    <row r="21" spans="1:12" x14ac:dyDescent="0.35">
      <c r="A21" s="10" t="s">
        <v>1536</v>
      </c>
      <c r="B21" s="11" t="s">
        <v>1537</v>
      </c>
      <c r="C21" s="11" t="s">
        <v>811</v>
      </c>
      <c r="D21" s="11" t="s">
        <v>832</v>
      </c>
      <c r="E21" s="11" t="s">
        <v>1538</v>
      </c>
      <c r="F21" s="11" t="s">
        <v>834</v>
      </c>
      <c r="G21" s="11" t="s">
        <v>96</v>
      </c>
      <c r="H21" s="10" t="s">
        <v>95</v>
      </c>
      <c r="I21" s="10" t="s">
        <v>1475</v>
      </c>
      <c r="J21" s="10" t="s">
        <v>99</v>
      </c>
      <c r="K21" s="10" t="s">
        <v>73</v>
      </c>
      <c r="L21" s="11" t="s">
        <v>1539</v>
      </c>
    </row>
    <row r="22" spans="1:12" x14ac:dyDescent="0.35">
      <c r="A22" s="10" t="s">
        <v>1540</v>
      </c>
      <c r="B22" s="11" t="s">
        <v>1541</v>
      </c>
      <c r="C22" s="11" t="s">
        <v>1542</v>
      </c>
      <c r="D22" s="11" t="s">
        <v>1543</v>
      </c>
      <c r="E22" s="11" t="s">
        <v>1544</v>
      </c>
      <c r="F22" s="11" t="s">
        <v>752</v>
      </c>
      <c r="G22" s="11" t="s">
        <v>706</v>
      </c>
      <c r="H22" s="10" t="s">
        <v>72</v>
      </c>
      <c r="I22" s="10" t="s">
        <v>1475</v>
      </c>
      <c r="J22" s="10" t="s">
        <v>85</v>
      </c>
      <c r="K22" s="10" t="s">
        <v>73</v>
      </c>
      <c r="L22" s="11"/>
    </row>
    <row r="23" spans="1:12" ht="23" x14ac:dyDescent="0.35">
      <c r="A23" s="10" t="s">
        <v>1274</v>
      </c>
      <c r="B23" s="11" t="s">
        <v>1545</v>
      </c>
      <c r="C23" s="11" t="s">
        <v>895</v>
      </c>
      <c r="D23" s="11" t="s">
        <v>1546</v>
      </c>
      <c r="E23" s="11" t="s">
        <v>1547</v>
      </c>
      <c r="F23" s="11" t="s">
        <v>915</v>
      </c>
      <c r="G23" s="11" t="s">
        <v>1548</v>
      </c>
      <c r="H23" s="10" t="s">
        <v>72</v>
      </c>
      <c r="I23" s="10" t="s">
        <v>1460</v>
      </c>
      <c r="J23" s="10" t="s">
        <v>31</v>
      </c>
      <c r="K23" s="10" t="s">
        <v>73</v>
      </c>
      <c r="L23" s="11" t="s">
        <v>1549</v>
      </c>
    </row>
    <row r="24" spans="1:12" x14ac:dyDescent="0.35">
      <c r="A24" s="10" t="s">
        <v>1550</v>
      </c>
      <c r="B24" s="11" t="s">
        <v>1551</v>
      </c>
      <c r="C24" s="11" t="s">
        <v>906</v>
      </c>
      <c r="D24" s="11" t="s">
        <v>878</v>
      </c>
      <c r="E24" s="11" t="s">
        <v>1552</v>
      </c>
      <c r="F24" s="11" t="s">
        <v>880</v>
      </c>
      <c r="G24" s="11" t="s">
        <v>924</v>
      </c>
      <c r="H24" s="10" t="s">
        <v>72</v>
      </c>
      <c r="I24" s="10" t="s">
        <v>1475</v>
      </c>
      <c r="J24" s="10" t="s">
        <v>85</v>
      </c>
      <c r="K24" s="10" t="s">
        <v>73</v>
      </c>
      <c r="L24" s="11"/>
    </row>
    <row r="25" spans="1:12" ht="23" x14ac:dyDescent="0.35">
      <c r="A25" s="10" t="s">
        <v>1553</v>
      </c>
      <c r="B25" s="11" t="s">
        <v>1554</v>
      </c>
      <c r="C25" s="11" t="s">
        <v>955</v>
      </c>
      <c r="D25" s="11" t="s">
        <v>1555</v>
      </c>
      <c r="E25" s="11" t="s">
        <v>1556</v>
      </c>
      <c r="F25" s="11" t="s">
        <v>977</v>
      </c>
      <c r="G25" s="11" t="s">
        <v>1557</v>
      </c>
      <c r="H25" s="10" t="s">
        <v>976</v>
      </c>
      <c r="I25" s="10" t="s">
        <v>1454</v>
      </c>
      <c r="J25" s="10" t="s">
        <v>31</v>
      </c>
      <c r="K25" s="10" t="s">
        <v>73</v>
      </c>
      <c r="L25" s="11" t="s">
        <v>1558</v>
      </c>
    </row>
    <row r="26" spans="1:12" ht="34.5" x14ac:dyDescent="0.35">
      <c r="A26" s="10" t="s">
        <v>1559</v>
      </c>
      <c r="B26" s="11" t="s">
        <v>1560</v>
      </c>
      <c r="C26" s="11" t="s">
        <v>942</v>
      </c>
      <c r="D26" s="11" t="s">
        <v>1561</v>
      </c>
      <c r="E26" s="11" t="s">
        <v>1562</v>
      </c>
      <c r="F26" s="11" t="s">
        <v>964</v>
      </c>
      <c r="G26" s="11" t="s">
        <v>1563</v>
      </c>
      <c r="H26" s="10" t="s">
        <v>355</v>
      </c>
      <c r="I26" s="10" t="s">
        <v>1460</v>
      </c>
      <c r="J26" s="10" t="s">
        <v>31</v>
      </c>
      <c r="K26" s="10" t="s">
        <v>73</v>
      </c>
      <c r="L26" s="11"/>
    </row>
    <row r="27" spans="1:12" ht="23" x14ac:dyDescent="0.35">
      <c r="A27" s="10" t="s">
        <v>1564</v>
      </c>
      <c r="B27" s="11" t="s">
        <v>1565</v>
      </c>
      <c r="C27" s="11" t="s">
        <v>918</v>
      </c>
      <c r="D27" s="11" t="s">
        <v>1566</v>
      </c>
      <c r="E27" s="11" t="s">
        <v>1567</v>
      </c>
      <c r="F27" s="11" t="s">
        <v>938</v>
      </c>
      <c r="G27" s="11" t="s">
        <v>1568</v>
      </c>
      <c r="H27" s="10" t="s">
        <v>72</v>
      </c>
      <c r="I27" s="10" t="s">
        <v>1460</v>
      </c>
      <c r="J27" s="10" t="s">
        <v>99</v>
      </c>
      <c r="K27" s="10" t="s">
        <v>73</v>
      </c>
      <c r="L27" s="11" t="s">
        <v>1569</v>
      </c>
    </row>
    <row r="28" spans="1:12" ht="23" x14ac:dyDescent="0.35">
      <c r="A28" s="10" t="s">
        <v>1294</v>
      </c>
      <c r="B28" s="11" t="s">
        <v>1570</v>
      </c>
      <c r="C28" s="11" t="s">
        <v>1119</v>
      </c>
      <c r="D28" s="11" t="s">
        <v>1571</v>
      </c>
      <c r="E28" s="11" t="s">
        <v>1572</v>
      </c>
      <c r="F28" s="11" t="s">
        <v>1140</v>
      </c>
      <c r="G28" s="11" t="s">
        <v>1573</v>
      </c>
      <c r="H28" s="10" t="s">
        <v>112</v>
      </c>
      <c r="I28" s="10" t="s">
        <v>1454</v>
      </c>
      <c r="J28" s="10" t="s">
        <v>31</v>
      </c>
      <c r="K28" s="10" t="s">
        <v>73</v>
      </c>
      <c r="L28" s="11" t="s">
        <v>1574</v>
      </c>
    </row>
    <row r="29" spans="1:12" ht="34.5" x14ac:dyDescent="0.35">
      <c r="A29" s="10" t="s">
        <v>1575</v>
      </c>
      <c r="B29" s="11" t="s">
        <v>1576</v>
      </c>
      <c r="C29" s="11" t="s">
        <v>1577</v>
      </c>
      <c r="D29" s="11" t="s">
        <v>1527</v>
      </c>
      <c r="E29" s="11" t="s">
        <v>1578</v>
      </c>
      <c r="F29" s="11" t="s">
        <v>1073</v>
      </c>
      <c r="G29" s="11" t="s">
        <v>1579</v>
      </c>
      <c r="H29" s="10" t="s">
        <v>72</v>
      </c>
      <c r="I29" s="10" t="s">
        <v>1460</v>
      </c>
      <c r="J29" s="10" t="s">
        <v>31</v>
      </c>
      <c r="K29" s="10" t="s">
        <v>73</v>
      </c>
      <c r="L29" s="11"/>
    </row>
    <row r="30" spans="1:12" ht="23" x14ac:dyDescent="0.35">
      <c r="A30" s="10" t="s">
        <v>1580</v>
      </c>
      <c r="B30" s="11" t="s">
        <v>1581</v>
      </c>
      <c r="C30" s="11" t="s">
        <v>1582</v>
      </c>
      <c r="D30" s="11" t="s">
        <v>1583</v>
      </c>
      <c r="E30" s="11" t="s">
        <v>1584</v>
      </c>
      <c r="F30" s="11" t="s">
        <v>871</v>
      </c>
      <c r="G30" s="11" t="s">
        <v>879</v>
      </c>
      <c r="H30" s="10" t="s">
        <v>481</v>
      </c>
      <c r="I30" s="10" t="s">
        <v>1460</v>
      </c>
      <c r="J30" s="10" t="s">
        <v>31</v>
      </c>
      <c r="K30" s="10" t="s">
        <v>73</v>
      </c>
      <c r="L30" s="11" t="s">
        <v>1585</v>
      </c>
    </row>
    <row r="31" spans="1:12" x14ac:dyDescent="0.35">
      <c r="A31" s="10" t="s">
        <v>1586</v>
      </c>
      <c r="B31" s="11" t="s">
        <v>1587</v>
      </c>
      <c r="C31" s="11" t="s">
        <v>874</v>
      </c>
      <c r="D31" s="11" t="s">
        <v>1588</v>
      </c>
      <c r="E31" s="11" t="s">
        <v>1589</v>
      </c>
      <c r="F31" s="11" t="s">
        <v>892</v>
      </c>
      <c r="G31" s="11" t="s">
        <v>582</v>
      </c>
      <c r="H31" s="10" t="s">
        <v>72</v>
      </c>
      <c r="I31" s="10" t="s">
        <v>1475</v>
      </c>
      <c r="J31" s="10" t="s">
        <v>31</v>
      </c>
      <c r="K31" s="10" t="s">
        <v>73</v>
      </c>
      <c r="L31" s="11" t="s">
        <v>1590</v>
      </c>
    </row>
    <row r="32" spans="1:12" ht="23" x14ac:dyDescent="0.35">
      <c r="A32" s="10" t="s">
        <v>1591</v>
      </c>
      <c r="B32" s="11" t="s">
        <v>1592</v>
      </c>
      <c r="C32" s="11" t="s">
        <v>1110</v>
      </c>
      <c r="D32" s="11" t="s">
        <v>878</v>
      </c>
      <c r="E32" s="11" t="s">
        <v>1593</v>
      </c>
      <c r="F32" s="11" t="s">
        <v>892</v>
      </c>
      <c r="G32" s="11" t="s">
        <v>1176</v>
      </c>
      <c r="H32" s="10" t="s">
        <v>72</v>
      </c>
      <c r="I32" s="10" t="s">
        <v>1460</v>
      </c>
      <c r="J32" s="10" t="s">
        <v>85</v>
      </c>
      <c r="K32" s="10" t="s">
        <v>73</v>
      </c>
      <c r="L32" s="11" t="s">
        <v>1590</v>
      </c>
    </row>
    <row r="33" spans="1:12" ht="23" x14ac:dyDescent="0.35">
      <c r="A33" s="10" t="s">
        <v>1594</v>
      </c>
      <c r="B33" s="11" t="s">
        <v>1595</v>
      </c>
      <c r="C33" s="11" t="s">
        <v>1130</v>
      </c>
      <c r="D33" s="11" t="s">
        <v>1596</v>
      </c>
      <c r="E33" s="11" t="s">
        <v>1597</v>
      </c>
      <c r="F33" s="11" t="s">
        <v>1153</v>
      </c>
      <c r="G33" s="11" t="s">
        <v>1152</v>
      </c>
      <c r="H33" s="10" t="s">
        <v>95</v>
      </c>
      <c r="I33" s="10" t="s">
        <v>1460</v>
      </c>
      <c r="J33" s="10" t="s">
        <v>85</v>
      </c>
      <c r="K33" s="10" t="s">
        <v>73</v>
      </c>
      <c r="L33" s="11"/>
    </row>
    <row r="34" spans="1:12" ht="34.5" x14ac:dyDescent="0.35">
      <c r="A34" s="10" t="s">
        <v>1598</v>
      </c>
      <c r="B34" s="11" t="s">
        <v>1599</v>
      </c>
      <c r="C34" s="11" t="s">
        <v>1600</v>
      </c>
      <c r="D34" s="11" t="s">
        <v>1601</v>
      </c>
      <c r="E34" s="11" t="s">
        <v>1602</v>
      </c>
      <c r="F34" s="11" t="s">
        <v>1603</v>
      </c>
      <c r="G34" s="11" t="s">
        <v>1604</v>
      </c>
      <c r="H34" s="10" t="s">
        <v>112</v>
      </c>
      <c r="I34" s="10" t="s">
        <v>1460</v>
      </c>
      <c r="J34" s="10" t="s">
        <v>99</v>
      </c>
      <c r="K34" s="10" t="s">
        <v>73</v>
      </c>
      <c r="L34" s="11"/>
    </row>
    <row r="35" spans="1:12" x14ac:dyDescent="0.35">
      <c r="A35" s="10" t="s">
        <v>1605</v>
      </c>
      <c r="B35" s="11" t="s">
        <v>1606</v>
      </c>
      <c r="C35" s="11" t="s">
        <v>1156</v>
      </c>
      <c r="D35" s="11" t="s">
        <v>1607</v>
      </c>
      <c r="E35" s="11" t="s">
        <v>1608</v>
      </c>
      <c r="F35" s="11" t="s">
        <v>880</v>
      </c>
      <c r="G35" s="11" t="s">
        <v>1176</v>
      </c>
      <c r="H35" s="10" t="s">
        <v>95</v>
      </c>
      <c r="I35" s="10" t="s">
        <v>1475</v>
      </c>
      <c r="J35" s="10" t="s">
        <v>99</v>
      </c>
      <c r="K35" s="10" t="s">
        <v>73</v>
      </c>
      <c r="L35" s="11"/>
    </row>
  </sheetData>
  <autoFilter ref="A3:L35" xr:uid="{00000000-0009-0000-0000-000005000000}"/>
  <conditionalFormatting sqref="K4:K80">
    <cfRule type="containsText" dxfId="23" priority="1" operator="containsText" text="Done">
      <formula>NOT(ISERROR(SEARCH("Done",K4)))</formula>
    </cfRule>
    <cfRule type="containsText" dxfId="22" priority="2" operator="containsText" text="Validated">
      <formula>NOT(ISERROR(SEARCH("Validated",K4)))</formula>
    </cfRule>
    <cfRule type="containsText" dxfId="21" priority="3" operator="containsText" text="Loaded">
      <formula>NOT(ISERROR(SEARCH("Loaded",K4)))</formula>
    </cfRule>
    <cfRule type="containsText" dxfId="20" priority="4" operator="containsText" text="In progress">
      <formula>NOT(ISERROR(SEARCH("In progress",K4)))</formula>
    </cfRule>
    <cfRule type="containsText" dxfId="19" priority="5" operator="containsText" text="Fetched">
      <formula>NOT(ISERROR(SEARCH("Fetched",K4)))</formula>
    </cfRule>
    <cfRule type="containsText" dxfId="18" priority="6" operator="containsText" text="Cleaned">
      <formula>NOT(ISERROR(SEARCH("Cleaned",K4)))</formula>
    </cfRule>
    <cfRule type="containsText" dxfId="17" priority="7" operator="containsText" text="Blocked">
      <formula>NOT(ISERROR(SEARCH("Blocked",K4)))</formula>
    </cfRule>
    <cfRule type="containsText" dxfId="16" priority="8" operator="containsText" text="Not started">
      <formula>NOT(ISERROR(SEARCH("Not started",K4)))</formula>
    </cfRule>
  </conditionalFormatting>
  <dataValidations count="3">
    <dataValidation type="list" allowBlank="1" sqref="K4:K80" xr:uid="{00000000-0002-0000-0500-000000000000}">
      <formula1>"Not started,In progress,Fetched,Cleaned,Loaded,Validated,Done,Blocked,N/A"</formula1>
    </dataValidation>
    <dataValidation type="list" allowBlank="1" sqref="J4:J80" xr:uid="{00000000-0002-0000-0500-000001000000}">
      <formula1>"P1,P2,P3"</formula1>
    </dataValidation>
    <dataValidation type="list" allowBlank="1" sqref="I4:I80" xr:uid="{00000000-0002-0000-0500-000002000000}">
      <formula1>"S,M,L"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zoomScale="9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12" customWidth="1"/>
    <col min="3" max="3" width="26" customWidth="1"/>
    <col min="4" max="4" width="24" customWidth="1"/>
    <col min="5" max="5" width="20" customWidth="1"/>
    <col min="6" max="6" width="40" customWidth="1"/>
    <col min="7" max="7" width="20" customWidth="1"/>
    <col min="8" max="8" width="12" customWidth="1"/>
    <col min="9" max="9" width="26" customWidth="1"/>
  </cols>
  <sheetData>
    <row r="1" spans="1:9" ht="18" x14ac:dyDescent="0.4">
      <c r="A1" s="1" t="s">
        <v>1609</v>
      </c>
    </row>
    <row r="2" spans="1:9" x14ac:dyDescent="0.35">
      <c r="A2" s="2" t="s">
        <v>1610</v>
      </c>
    </row>
    <row r="3" spans="1:9" x14ac:dyDescent="0.35">
      <c r="A3" s="8" t="s">
        <v>22</v>
      </c>
      <c r="B3" s="8" t="s">
        <v>1611</v>
      </c>
      <c r="C3" s="8" t="s">
        <v>1612</v>
      </c>
      <c r="D3" s="8" t="s">
        <v>1613</v>
      </c>
      <c r="E3" s="8" t="s">
        <v>1614</v>
      </c>
      <c r="F3" s="8" t="s">
        <v>1615</v>
      </c>
      <c r="G3" s="8" t="s">
        <v>1616</v>
      </c>
      <c r="H3" s="9" t="s">
        <v>25</v>
      </c>
      <c r="I3" s="9" t="s">
        <v>28</v>
      </c>
    </row>
    <row r="4" spans="1:9" ht="23" x14ac:dyDescent="0.35">
      <c r="A4" s="10" t="s">
        <v>1617</v>
      </c>
      <c r="B4" s="11" t="s">
        <v>1618</v>
      </c>
      <c r="C4" s="11" t="s">
        <v>1619</v>
      </c>
      <c r="D4" s="11" t="s">
        <v>1620</v>
      </c>
      <c r="E4" s="11" t="s">
        <v>1621</v>
      </c>
      <c r="F4" s="11" t="s">
        <v>1622</v>
      </c>
      <c r="G4" s="11" t="s">
        <v>1623</v>
      </c>
      <c r="H4" s="10" t="s">
        <v>73</v>
      </c>
      <c r="I4" s="11" t="s">
        <v>1624</v>
      </c>
    </row>
    <row r="5" spans="1:9" ht="23" x14ac:dyDescent="0.35">
      <c r="A5" s="10" t="s">
        <v>1625</v>
      </c>
      <c r="B5" s="11" t="s">
        <v>1618</v>
      </c>
      <c r="C5" s="11" t="s">
        <v>629</v>
      </c>
      <c r="D5" s="11" t="s">
        <v>1626</v>
      </c>
      <c r="E5" s="11" t="s">
        <v>1627</v>
      </c>
      <c r="F5" s="11" t="s">
        <v>1628</v>
      </c>
      <c r="G5" s="11" t="s">
        <v>1629</v>
      </c>
      <c r="H5" s="10" t="s">
        <v>73</v>
      </c>
      <c r="I5" s="11" t="s">
        <v>1630</v>
      </c>
    </row>
    <row r="6" spans="1:9" ht="23" x14ac:dyDescent="0.35">
      <c r="A6" s="10" t="s">
        <v>1631</v>
      </c>
      <c r="B6" s="11" t="s">
        <v>1632</v>
      </c>
      <c r="C6" s="11" t="s">
        <v>34</v>
      </c>
      <c r="D6" s="11" t="s">
        <v>1633</v>
      </c>
      <c r="E6" s="11" t="s">
        <v>1634</v>
      </c>
      <c r="F6" s="11" t="s">
        <v>1635</v>
      </c>
      <c r="G6" s="11" t="s">
        <v>1636</v>
      </c>
      <c r="H6" s="10" t="s">
        <v>73</v>
      </c>
      <c r="I6" s="11"/>
    </row>
    <row r="7" spans="1:9" ht="23" x14ac:dyDescent="0.35">
      <c r="A7" s="10" t="s">
        <v>1637</v>
      </c>
      <c r="B7" s="11" t="s">
        <v>1632</v>
      </c>
      <c r="C7" s="11" t="s">
        <v>1638</v>
      </c>
      <c r="D7" s="11" t="s">
        <v>1639</v>
      </c>
      <c r="E7" s="11" t="s">
        <v>1640</v>
      </c>
      <c r="F7" s="11" t="s">
        <v>1641</v>
      </c>
      <c r="G7" s="11" t="s">
        <v>1642</v>
      </c>
      <c r="H7" s="10" t="s">
        <v>73</v>
      </c>
      <c r="I7" s="11" t="s">
        <v>1643</v>
      </c>
    </row>
    <row r="8" spans="1:9" ht="23" x14ac:dyDescent="0.35">
      <c r="A8" s="10" t="s">
        <v>1644</v>
      </c>
      <c r="B8" s="11" t="s">
        <v>1632</v>
      </c>
      <c r="C8" s="11" t="s">
        <v>1645</v>
      </c>
      <c r="D8" s="11" t="s">
        <v>1646</v>
      </c>
      <c r="E8" s="11" t="s">
        <v>1647</v>
      </c>
      <c r="F8" s="11" t="s">
        <v>1648</v>
      </c>
      <c r="G8" s="11" t="s">
        <v>1649</v>
      </c>
      <c r="H8" s="10" t="s">
        <v>73</v>
      </c>
      <c r="I8" s="11" t="s">
        <v>1650</v>
      </c>
    </row>
    <row r="9" spans="1:9" ht="23" x14ac:dyDescent="0.35">
      <c r="A9" s="10" t="s">
        <v>1651</v>
      </c>
      <c r="B9" s="11" t="s">
        <v>1632</v>
      </c>
      <c r="C9" s="11" t="s">
        <v>395</v>
      </c>
      <c r="D9" s="11" t="s">
        <v>1652</v>
      </c>
      <c r="E9" s="11" t="s">
        <v>1653</v>
      </c>
      <c r="F9" s="11" t="s">
        <v>1654</v>
      </c>
      <c r="G9" s="11" t="s">
        <v>1655</v>
      </c>
      <c r="H9" s="10" t="s">
        <v>73</v>
      </c>
      <c r="I9" s="11" t="s">
        <v>1656</v>
      </c>
    </row>
    <row r="10" spans="1:9" ht="23" x14ac:dyDescent="0.35">
      <c r="A10" s="10" t="s">
        <v>1657</v>
      </c>
      <c r="B10" s="11" t="s">
        <v>1632</v>
      </c>
      <c r="C10" s="11" t="s">
        <v>231</v>
      </c>
      <c r="D10" s="11" t="s">
        <v>1658</v>
      </c>
      <c r="E10" s="11" t="s">
        <v>1659</v>
      </c>
      <c r="F10" s="11" t="s">
        <v>1660</v>
      </c>
      <c r="G10" s="11" t="s">
        <v>1661</v>
      </c>
      <c r="H10" s="10" t="s">
        <v>73</v>
      </c>
      <c r="I10" s="11" t="s">
        <v>1662</v>
      </c>
    </row>
    <row r="11" spans="1:9" ht="23" x14ac:dyDescent="0.35">
      <c r="A11" s="10" t="s">
        <v>1663</v>
      </c>
      <c r="B11" s="11" t="s">
        <v>1632</v>
      </c>
      <c r="C11" s="11" t="s">
        <v>1664</v>
      </c>
      <c r="D11" s="11" t="s">
        <v>1665</v>
      </c>
      <c r="E11" s="11" t="s">
        <v>1323</v>
      </c>
      <c r="F11" s="11" t="s">
        <v>1666</v>
      </c>
      <c r="G11" s="11" t="s">
        <v>1667</v>
      </c>
      <c r="H11" s="10" t="s">
        <v>73</v>
      </c>
      <c r="I11" s="11"/>
    </row>
    <row r="12" spans="1:9" ht="23" x14ac:dyDescent="0.35">
      <c r="A12" s="10" t="s">
        <v>1668</v>
      </c>
      <c r="B12" s="11" t="s">
        <v>730</v>
      </c>
      <c r="C12" s="11" t="s">
        <v>407</v>
      </c>
      <c r="D12" s="11" t="s">
        <v>1669</v>
      </c>
      <c r="E12" s="11" t="s">
        <v>1670</v>
      </c>
      <c r="F12" s="11" t="s">
        <v>1671</v>
      </c>
      <c r="G12" s="11" t="s">
        <v>1672</v>
      </c>
      <c r="H12" s="10" t="s">
        <v>73</v>
      </c>
      <c r="I12" s="11" t="s">
        <v>1673</v>
      </c>
    </row>
    <row r="13" spans="1:9" ht="23" x14ac:dyDescent="0.35">
      <c r="A13" s="10" t="s">
        <v>1674</v>
      </c>
      <c r="B13" s="11" t="s">
        <v>730</v>
      </c>
      <c r="C13" s="11" t="s">
        <v>563</v>
      </c>
      <c r="D13" s="11" t="s">
        <v>1675</v>
      </c>
      <c r="E13" s="11" t="s">
        <v>1676</v>
      </c>
      <c r="F13" s="11" t="s">
        <v>1677</v>
      </c>
      <c r="G13" s="11" t="s">
        <v>1678</v>
      </c>
      <c r="H13" s="10" t="s">
        <v>73</v>
      </c>
      <c r="I13" s="11" t="s">
        <v>1679</v>
      </c>
    </row>
    <row r="14" spans="1:9" ht="23" x14ac:dyDescent="0.35">
      <c r="A14" s="10" t="s">
        <v>1680</v>
      </c>
      <c r="B14" s="11" t="s">
        <v>730</v>
      </c>
      <c r="C14" s="11" t="s">
        <v>600</v>
      </c>
      <c r="D14" s="11" t="s">
        <v>1681</v>
      </c>
      <c r="E14" s="11" t="s">
        <v>1682</v>
      </c>
      <c r="F14" s="11" t="s">
        <v>1683</v>
      </c>
      <c r="G14" s="11" t="s">
        <v>1684</v>
      </c>
      <c r="H14" s="10" t="s">
        <v>73</v>
      </c>
      <c r="I14" s="11" t="s">
        <v>1685</v>
      </c>
    </row>
    <row r="15" spans="1:9" ht="23" x14ac:dyDescent="0.35">
      <c r="A15" s="10" t="s">
        <v>1686</v>
      </c>
      <c r="B15" s="11" t="s">
        <v>730</v>
      </c>
      <c r="C15" s="11" t="s">
        <v>1073</v>
      </c>
      <c r="D15" s="11" t="s">
        <v>1687</v>
      </c>
      <c r="E15" s="11" t="s">
        <v>1670</v>
      </c>
      <c r="F15" s="11" t="s">
        <v>1688</v>
      </c>
      <c r="G15" s="11" t="s">
        <v>1689</v>
      </c>
      <c r="H15" s="10" t="s">
        <v>73</v>
      </c>
      <c r="I15" s="11"/>
    </row>
    <row r="16" spans="1:9" ht="23" x14ac:dyDescent="0.35">
      <c r="A16" s="10" t="s">
        <v>1690</v>
      </c>
      <c r="B16" s="11" t="s">
        <v>730</v>
      </c>
      <c r="C16" s="11" t="s">
        <v>1691</v>
      </c>
      <c r="D16" s="11" t="s">
        <v>1692</v>
      </c>
      <c r="E16" s="11" t="s">
        <v>1693</v>
      </c>
      <c r="F16" s="11" t="s">
        <v>1694</v>
      </c>
      <c r="G16" s="11" t="s">
        <v>1695</v>
      </c>
      <c r="H16" s="10" t="s">
        <v>73</v>
      </c>
      <c r="I16" s="11"/>
    </row>
    <row r="17" spans="1:9" ht="23" x14ac:dyDescent="0.35">
      <c r="A17" s="10" t="s">
        <v>1696</v>
      </c>
      <c r="B17" s="11" t="s">
        <v>1697</v>
      </c>
      <c r="C17" s="11" t="s">
        <v>1535</v>
      </c>
      <c r="D17" s="11" t="s">
        <v>1698</v>
      </c>
      <c r="E17" s="11" t="s">
        <v>1699</v>
      </c>
      <c r="F17" s="11" t="s">
        <v>1700</v>
      </c>
      <c r="G17" s="11" t="s">
        <v>1532</v>
      </c>
      <c r="H17" s="10" t="s">
        <v>73</v>
      </c>
      <c r="I17" s="11"/>
    </row>
    <row r="18" spans="1:9" x14ac:dyDescent="0.35">
      <c r="A18" s="10" t="s">
        <v>1701</v>
      </c>
      <c r="B18" s="11" t="s">
        <v>339</v>
      </c>
      <c r="C18" s="11" t="s">
        <v>125</v>
      </c>
      <c r="D18" s="11" t="s">
        <v>1702</v>
      </c>
      <c r="E18" s="11" t="s">
        <v>1323</v>
      </c>
      <c r="F18" s="11" t="s">
        <v>1703</v>
      </c>
      <c r="G18" s="11" t="s">
        <v>1704</v>
      </c>
      <c r="H18" s="10" t="s">
        <v>73</v>
      </c>
      <c r="I18" s="11" t="s">
        <v>1705</v>
      </c>
    </row>
    <row r="19" spans="1:9" ht="23" x14ac:dyDescent="0.35">
      <c r="A19" s="10" t="s">
        <v>1706</v>
      </c>
      <c r="B19" s="11" t="s">
        <v>1707</v>
      </c>
      <c r="C19" s="11" t="s">
        <v>1708</v>
      </c>
      <c r="D19" s="11" t="s">
        <v>1709</v>
      </c>
      <c r="E19" s="11" t="s">
        <v>1710</v>
      </c>
      <c r="F19" s="11" t="s">
        <v>1711</v>
      </c>
      <c r="G19" s="11" t="s">
        <v>568</v>
      </c>
      <c r="H19" s="10" t="s">
        <v>73</v>
      </c>
      <c r="I19" s="11" t="s">
        <v>1712</v>
      </c>
    </row>
  </sheetData>
  <autoFilter ref="A3:I19" xr:uid="{00000000-0009-0000-0000-000006000000}"/>
  <conditionalFormatting sqref="H4:H60">
    <cfRule type="containsText" dxfId="15" priority="1" operator="containsText" text="Done">
      <formula>NOT(ISERROR(SEARCH("Done",H4)))</formula>
    </cfRule>
    <cfRule type="containsText" dxfId="14" priority="2" operator="containsText" text="Validated">
      <formula>NOT(ISERROR(SEARCH("Validated",H4)))</formula>
    </cfRule>
    <cfRule type="containsText" dxfId="13" priority="3" operator="containsText" text="Loaded">
      <formula>NOT(ISERROR(SEARCH("Loaded",H4)))</formula>
    </cfRule>
    <cfRule type="containsText" dxfId="12" priority="4" operator="containsText" text="In progress">
      <formula>NOT(ISERROR(SEARCH("In progress",H4)))</formula>
    </cfRule>
    <cfRule type="containsText" dxfId="11" priority="5" operator="containsText" text="Fetched">
      <formula>NOT(ISERROR(SEARCH("Fetched",H4)))</formula>
    </cfRule>
    <cfRule type="containsText" dxfId="10" priority="6" operator="containsText" text="Cleaned">
      <formula>NOT(ISERROR(SEARCH("Cleaned",H4)))</formula>
    </cfRule>
    <cfRule type="containsText" dxfId="9" priority="7" operator="containsText" text="Blocked">
      <formula>NOT(ISERROR(SEARCH("Blocked",H4)))</formula>
    </cfRule>
    <cfRule type="containsText" dxfId="8" priority="8" operator="containsText" text="Not started">
      <formula>NOT(ISERROR(SEARCH("Not started",H4)))</formula>
    </cfRule>
  </conditionalFormatting>
  <dataValidations count="1">
    <dataValidation type="list" allowBlank="1" sqref="H4:H60" xr:uid="{00000000-0002-0000-0600-000000000000}">
      <formula1>"Not started,In progress,Fetched,Cleaned,Loaded,Validated,Done,Blocked,N/A"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7"/>
  <sheetViews>
    <sheetView zoomScale="9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16" customWidth="1"/>
    <col min="3" max="3" width="34" customWidth="1"/>
    <col min="4" max="4" width="26" customWidth="1"/>
    <col min="5" max="5" width="16" customWidth="1"/>
    <col min="6" max="6" width="12" customWidth="1"/>
    <col min="7" max="7" width="26" customWidth="1"/>
    <col min="8" max="8" width="8" customWidth="1"/>
    <col min="9" max="9" width="30" customWidth="1"/>
  </cols>
  <sheetData>
    <row r="1" spans="1:9" ht="18" x14ac:dyDescent="0.4">
      <c r="A1" s="1" t="s">
        <v>1713</v>
      </c>
    </row>
    <row r="2" spans="1:9" x14ac:dyDescent="0.35">
      <c r="A2" s="2" t="s">
        <v>1714</v>
      </c>
    </row>
    <row r="3" spans="1:9" x14ac:dyDescent="0.35">
      <c r="A3" s="8" t="s">
        <v>22</v>
      </c>
      <c r="B3" s="8" t="s">
        <v>1715</v>
      </c>
      <c r="C3" s="8" t="s">
        <v>1716</v>
      </c>
      <c r="D3" s="8" t="s">
        <v>1717</v>
      </c>
      <c r="E3" s="8" t="s">
        <v>1718</v>
      </c>
      <c r="F3" s="8" t="s">
        <v>1719</v>
      </c>
      <c r="G3" s="8" t="s">
        <v>23</v>
      </c>
      <c r="H3" s="8" t="s">
        <v>1256</v>
      </c>
      <c r="I3" s="8" t="s">
        <v>1720</v>
      </c>
    </row>
    <row r="4" spans="1:9" ht="23" x14ac:dyDescent="0.35">
      <c r="A4" s="10" t="s">
        <v>1721</v>
      </c>
      <c r="B4" s="11" t="s">
        <v>1722</v>
      </c>
      <c r="C4" s="11" t="s">
        <v>1723</v>
      </c>
      <c r="D4" s="11" t="s">
        <v>1724</v>
      </c>
      <c r="E4" s="10" t="s">
        <v>1725</v>
      </c>
      <c r="F4" s="10" t="s">
        <v>1726</v>
      </c>
      <c r="G4" s="11" t="s">
        <v>1727</v>
      </c>
      <c r="H4" s="10" t="s">
        <v>1268</v>
      </c>
      <c r="I4" s="11" t="s">
        <v>1728</v>
      </c>
    </row>
    <row r="5" spans="1:9" x14ac:dyDescent="0.35">
      <c r="A5" s="10" t="s">
        <v>1729</v>
      </c>
      <c r="B5" s="11" t="s">
        <v>1722</v>
      </c>
      <c r="C5" s="11" t="s">
        <v>1730</v>
      </c>
      <c r="D5" s="11" t="s">
        <v>1731</v>
      </c>
      <c r="E5" s="10" t="s">
        <v>1732</v>
      </c>
      <c r="F5" s="10" t="s">
        <v>1726</v>
      </c>
      <c r="G5" s="11" t="s">
        <v>1733</v>
      </c>
      <c r="H5" s="10" t="s">
        <v>1268</v>
      </c>
      <c r="I5" s="11" t="s">
        <v>1734</v>
      </c>
    </row>
    <row r="6" spans="1:9" x14ac:dyDescent="0.35">
      <c r="A6" s="10" t="s">
        <v>1735</v>
      </c>
      <c r="B6" s="11" t="s">
        <v>1722</v>
      </c>
      <c r="C6" s="11" t="s">
        <v>1736</v>
      </c>
      <c r="D6" s="11" t="s">
        <v>1731</v>
      </c>
      <c r="E6" s="10" t="s">
        <v>1737</v>
      </c>
      <c r="F6" s="10" t="s">
        <v>1726</v>
      </c>
      <c r="G6" s="11" t="s">
        <v>1733</v>
      </c>
      <c r="H6" s="10" t="s">
        <v>1268</v>
      </c>
      <c r="I6" s="11" t="s">
        <v>1738</v>
      </c>
    </row>
    <row r="7" spans="1:9" ht="23" x14ac:dyDescent="0.35">
      <c r="A7" s="10" t="s">
        <v>1739</v>
      </c>
      <c r="B7" s="11" t="s">
        <v>1722</v>
      </c>
      <c r="C7" s="11" t="s">
        <v>1740</v>
      </c>
      <c r="D7" s="11" t="s">
        <v>1741</v>
      </c>
      <c r="E7" s="10" t="s">
        <v>1742</v>
      </c>
      <c r="F7" s="10" t="s">
        <v>1743</v>
      </c>
      <c r="G7" s="11" t="s">
        <v>1744</v>
      </c>
      <c r="H7" s="10" t="s">
        <v>1268</v>
      </c>
      <c r="I7" s="11" t="s">
        <v>1745</v>
      </c>
    </row>
    <row r="8" spans="1:9" ht="23" x14ac:dyDescent="0.35">
      <c r="A8" s="10" t="s">
        <v>1746</v>
      </c>
      <c r="B8" s="11" t="s">
        <v>1722</v>
      </c>
      <c r="C8" s="11" t="s">
        <v>1747</v>
      </c>
      <c r="D8" s="11" t="s">
        <v>1748</v>
      </c>
      <c r="E8" s="10" t="s">
        <v>1749</v>
      </c>
      <c r="F8" s="10" t="s">
        <v>1743</v>
      </c>
      <c r="G8" s="11" t="s">
        <v>908</v>
      </c>
      <c r="H8" s="10" t="s">
        <v>1268</v>
      </c>
      <c r="I8" s="11" t="s">
        <v>1750</v>
      </c>
    </row>
    <row r="9" spans="1:9" x14ac:dyDescent="0.35">
      <c r="A9" s="10" t="s">
        <v>1751</v>
      </c>
      <c r="B9" s="11" t="s">
        <v>1722</v>
      </c>
      <c r="C9" s="11" t="s">
        <v>1752</v>
      </c>
      <c r="D9" s="11" t="s">
        <v>860</v>
      </c>
      <c r="E9" s="10" t="s">
        <v>1753</v>
      </c>
      <c r="F9" s="10" t="s">
        <v>1743</v>
      </c>
      <c r="G9" s="11" t="s">
        <v>908</v>
      </c>
      <c r="H9" s="10" t="s">
        <v>1268</v>
      </c>
      <c r="I9" s="11" t="s">
        <v>1754</v>
      </c>
    </row>
    <row r="10" spans="1:9" ht="23" x14ac:dyDescent="0.35">
      <c r="A10" s="10" t="s">
        <v>1755</v>
      </c>
      <c r="B10" s="11" t="s">
        <v>1722</v>
      </c>
      <c r="C10" s="11" t="s">
        <v>1756</v>
      </c>
      <c r="D10" s="11" t="s">
        <v>1757</v>
      </c>
      <c r="E10" s="10" t="s">
        <v>1758</v>
      </c>
      <c r="F10" s="10" t="s">
        <v>1759</v>
      </c>
      <c r="G10" s="11" t="s">
        <v>1760</v>
      </c>
      <c r="H10" s="10" t="s">
        <v>1268</v>
      </c>
      <c r="I10" s="11" t="s">
        <v>1761</v>
      </c>
    </row>
    <row r="11" spans="1:9" x14ac:dyDescent="0.35">
      <c r="A11" s="10" t="s">
        <v>1762</v>
      </c>
      <c r="B11" s="11" t="s">
        <v>1763</v>
      </c>
      <c r="C11" s="11" t="s">
        <v>1764</v>
      </c>
      <c r="D11" s="11" t="s">
        <v>1765</v>
      </c>
      <c r="E11" s="10" t="s">
        <v>1766</v>
      </c>
      <c r="F11" s="10" t="s">
        <v>1767</v>
      </c>
      <c r="G11" s="11" t="s">
        <v>1768</v>
      </c>
      <c r="H11" s="10" t="s">
        <v>1769</v>
      </c>
      <c r="I11" s="11" t="s">
        <v>1770</v>
      </c>
    </row>
    <row r="12" spans="1:9" ht="23" x14ac:dyDescent="0.35">
      <c r="A12" s="10" t="s">
        <v>1771</v>
      </c>
      <c r="B12" s="11" t="s">
        <v>1763</v>
      </c>
      <c r="C12" s="11" t="s">
        <v>1772</v>
      </c>
      <c r="D12" s="11" t="s">
        <v>1765</v>
      </c>
      <c r="E12" s="10" t="s">
        <v>1773</v>
      </c>
      <c r="F12" s="10" t="s">
        <v>1767</v>
      </c>
      <c r="G12" s="11" t="s">
        <v>474</v>
      </c>
      <c r="H12" s="10" t="s">
        <v>1769</v>
      </c>
      <c r="I12" s="11" t="s">
        <v>1774</v>
      </c>
    </row>
    <row r="13" spans="1:9" ht="23" x14ac:dyDescent="0.35">
      <c r="A13" s="10" t="s">
        <v>1775</v>
      </c>
      <c r="B13" s="11" t="s">
        <v>1763</v>
      </c>
      <c r="C13" s="11" t="s">
        <v>1776</v>
      </c>
      <c r="D13" s="11" t="s">
        <v>1777</v>
      </c>
      <c r="E13" s="10" t="s">
        <v>1778</v>
      </c>
      <c r="F13" s="10" t="s">
        <v>1779</v>
      </c>
      <c r="G13" s="11" t="s">
        <v>1780</v>
      </c>
      <c r="H13" s="10" t="s">
        <v>1769</v>
      </c>
      <c r="I13" s="11" t="s">
        <v>1781</v>
      </c>
    </row>
    <row r="14" spans="1:9" x14ac:dyDescent="0.35">
      <c r="A14" s="10" t="s">
        <v>1782</v>
      </c>
      <c r="B14" s="11" t="s">
        <v>1763</v>
      </c>
      <c r="C14" s="11" t="s">
        <v>1783</v>
      </c>
      <c r="D14" s="11" t="s">
        <v>1784</v>
      </c>
      <c r="E14" s="10" t="s">
        <v>1785</v>
      </c>
      <c r="F14" s="10" t="s">
        <v>1786</v>
      </c>
      <c r="G14" s="11" t="s">
        <v>1787</v>
      </c>
      <c r="H14" s="10" t="s">
        <v>1769</v>
      </c>
      <c r="I14" s="11" t="s">
        <v>1788</v>
      </c>
    </row>
    <row r="15" spans="1:9" ht="23" x14ac:dyDescent="0.35">
      <c r="A15" s="10" t="s">
        <v>1789</v>
      </c>
      <c r="B15" s="11" t="s">
        <v>825</v>
      </c>
      <c r="C15" s="11" t="s">
        <v>1790</v>
      </c>
      <c r="D15" s="11" t="s">
        <v>1791</v>
      </c>
      <c r="E15" s="10" t="s">
        <v>1792</v>
      </c>
      <c r="F15" s="10" t="s">
        <v>1793</v>
      </c>
      <c r="G15" s="11" t="s">
        <v>1794</v>
      </c>
      <c r="H15" s="10" t="s">
        <v>1795</v>
      </c>
      <c r="I15" s="11" t="s">
        <v>1796</v>
      </c>
    </row>
    <row r="16" spans="1:9" x14ac:dyDescent="0.35">
      <c r="A16" s="10" t="s">
        <v>1797</v>
      </c>
      <c r="B16" s="11" t="s">
        <v>825</v>
      </c>
      <c r="C16" s="11" t="s">
        <v>1798</v>
      </c>
      <c r="D16" s="11" t="s">
        <v>1799</v>
      </c>
      <c r="E16" s="10" t="s">
        <v>1800</v>
      </c>
      <c r="F16" s="10" t="s">
        <v>1801</v>
      </c>
      <c r="G16" s="11" t="s">
        <v>1802</v>
      </c>
      <c r="H16" s="10" t="s">
        <v>1795</v>
      </c>
      <c r="I16" s="11" t="s">
        <v>1803</v>
      </c>
    </row>
    <row r="17" spans="1:9" ht="23" x14ac:dyDescent="0.35">
      <c r="A17" s="10" t="s">
        <v>1804</v>
      </c>
      <c r="B17" s="11" t="s">
        <v>1805</v>
      </c>
      <c r="C17" s="11" t="s">
        <v>1806</v>
      </c>
      <c r="D17" s="11" t="s">
        <v>1807</v>
      </c>
      <c r="E17" s="10" t="s">
        <v>1808</v>
      </c>
      <c r="F17" s="10" t="s">
        <v>1786</v>
      </c>
      <c r="G17" s="11" t="s">
        <v>1809</v>
      </c>
      <c r="H17" s="10" t="s">
        <v>1810</v>
      </c>
      <c r="I17" s="11" t="s">
        <v>1811</v>
      </c>
    </row>
    <row r="18" spans="1:9" ht="23" x14ac:dyDescent="0.35">
      <c r="A18" s="10" t="s">
        <v>1812</v>
      </c>
      <c r="B18" s="11" t="s">
        <v>1805</v>
      </c>
      <c r="C18" s="11" t="s">
        <v>1813</v>
      </c>
      <c r="D18" s="11" t="s">
        <v>1814</v>
      </c>
      <c r="E18" s="10" t="s">
        <v>1815</v>
      </c>
      <c r="F18" s="10" t="s">
        <v>1816</v>
      </c>
      <c r="G18" s="11" t="s">
        <v>1817</v>
      </c>
      <c r="H18" s="10" t="s">
        <v>1810</v>
      </c>
      <c r="I18" s="11" t="s">
        <v>1818</v>
      </c>
    </row>
    <row r="19" spans="1:9" ht="46" x14ac:dyDescent="0.35">
      <c r="A19" s="10" t="s">
        <v>1819</v>
      </c>
      <c r="B19" s="11" t="s">
        <v>1820</v>
      </c>
      <c r="C19" s="11" t="s">
        <v>1821</v>
      </c>
      <c r="D19" s="11" t="s">
        <v>1822</v>
      </c>
      <c r="E19" s="10" t="s">
        <v>1823</v>
      </c>
      <c r="F19" s="10" t="s">
        <v>1824</v>
      </c>
      <c r="G19" s="11" t="s">
        <v>1825</v>
      </c>
      <c r="H19" s="10" t="s">
        <v>1268</v>
      </c>
      <c r="I19" s="11" t="s">
        <v>1826</v>
      </c>
    </row>
    <row r="20" spans="1:9" ht="23" x14ac:dyDescent="0.35">
      <c r="A20" s="10" t="s">
        <v>1827</v>
      </c>
      <c r="B20" s="11" t="s">
        <v>1820</v>
      </c>
      <c r="C20" s="11" t="s">
        <v>1828</v>
      </c>
      <c r="D20" s="11" t="s">
        <v>1829</v>
      </c>
      <c r="E20" s="10" t="s">
        <v>1830</v>
      </c>
      <c r="F20" s="10" t="s">
        <v>1831</v>
      </c>
      <c r="G20" s="11" t="s">
        <v>920</v>
      </c>
      <c r="H20" s="10" t="s">
        <v>1268</v>
      </c>
      <c r="I20" s="11" t="s">
        <v>1832</v>
      </c>
    </row>
    <row r="21" spans="1:9" ht="23" x14ac:dyDescent="0.35">
      <c r="A21" s="10" t="s">
        <v>1833</v>
      </c>
      <c r="B21" s="11" t="s">
        <v>1834</v>
      </c>
      <c r="C21" s="11" t="s">
        <v>1835</v>
      </c>
      <c r="D21" s="11" t="s">
        <v>1834</v>
      </c>
      <c r="E21" s="10" t="s">
        <v>1836</v>
      </c>
      <c r="F21" s="10" t="s">
        <v>1743</v>
      </c>
      <c r="G21" s="11" t="s">
        <v>1837</v>
      </c>
      <c r="H21" s="10" t="s">
        <v>1310</v>
      </c>
      <c r="I21" s="11" t="s">
        <v>1838</v>
      </c>
    </row>
    <row r="22" spans="1:9" x14ac:dyDescent="0.35">
      <c r="A22" s="10" t="s">
        <v>1839</v>
      </c>
      <c r="B22" s="11" t="s">
        <v>1840</v>
      </c>
      <c r="C22" s="11" t="s">
        <v>1841</v>
      </c>
      <c r="D22" s="11" t="s">
        <v>1834</v>
      </c>
      <c r="E22" s="10" t="s">
        <v>1842</v>
      </c>
      <c r="F22" s="10" t="s">
        <v>1843</v>
      </c>
      <c r="G22" s="11" t="s">
        <v>1844</v>
      </c>
      <c r="H22" s="10" t="s">
        <v>1310</v>
      </c>
      <c r="I22" s="11" t="s">
        <v>1845</v>
      </c>
    </row>
    <row r="23" spans="1:9" ht="46" x14ac:dyDescent="0.35">
      <c r="A23" s="10" t="s">
        <v>1846</v>
      </c>
      <c r="B23" s="11" t="s">
        <v>1840</v>
      </c>
      <c r="C23" s="11" t="s">
        <v>1847</v>
      </c>
      <c r="D23" s="11" t="s">
        <v>1834</v>
      </c>
      <c r="E23" s="10" t="s">
        <v>1848</v>
      </c>
      <c r="F23" s="10" t="s">
        <v>1843</v>
      </c>
      <c r="G23" s="11" t="s">
        <v>1844</v>
      </c>
      <c r="H23" s="10" t="s">
        <v>1310</v>
      </c>
      <c r="I23" s="11" t="s">
        <v>1849</v>
      </c>
    </row>
    <row r="24" spans="1:9" x14ac:dyDescent="0.35">
      <c r="A24" s="10" t="s">
        <v>1850</v>
      </c>
      <c r="B24" s="11" t="s">
        <v>1851</v>
      </c>
      <c r="C24" s="11" t="s">
        <v>1852</v>
      </c>
      <c r="D24" s="11" t="s">
        <v>1853</v>
      </c>
      <c r="E24" s="10" t="s">
        <v>1854</v>
      </c>
      <c r="F24" s="10" t="s">
        <v>1743</v>
      </c>
      <c r="G24" s="11" t="s">
        <v>1844</v>
      </c>
      <c r="H24" s="10" t="s">
        <v>1310</v>
      </c>
      <c r="I24" s="11" t="s">
        <v>1855</v>
      </c>
    </row>
    <row r="25" spans="1:9" x14ac:dyDescent="0.35">
      <c r="A25" s="10" t="s">
        <v>1856</v>
      </c>
      <c r="B25" s="11" t="s">
        <v>1851</v>
      </c>
      <c r="C25" s="11" t="s">
        <v>1857</v>
      </c>
      <c r="D25" s="11" t="s">
        <v>1858</v>
      </c>
      <c r="E25" s="10" t="s">
        <v>1859</v>
      </c>
      <c r="F25" s="10" t="s">
        <v>1743</v>
      </c>
      <c r="G25" s="11" t="s">
        <v>1844</v>
      </c>
      <c r="H25" s="10" t="s">
        <v>1310</v>
      </c>
      <c r="I25" s="11" t="s">
        <v>1860</v>
      </c>
    </row>
    <row r="26" spans="1:9" x14ac:dyDescent="0.35">
      <c r="A26" s="10" t="s">
        <v>1861</v>
      </c>
      <c r="B26" s="11" t="s">
        <v>1862</v>
      </c>
      <c r="C26" s="11" t="s">
        <v>1863</v>
      </c>
      <c r="D26" s="11" t="s">
        <v>860</v>
      </c>
      <c r="E26" s="10" t="s">
        <v>1864</v>
      </c>
      <c r="F26" s="10" t="s">
        <v>1865</v>
      </c>
      <c r="G26" s="11" t="s">
        <v>1844</v>
      </c>
      <c r="H26" s="10" t="s">
        <v>1310</v>
      </c>
      <c r="I26" s="11" t="s">
        <v>1866</v>
      </c>
    </row>
    <row r="27" spans="1:9" ht="23" x14ac:dyDescent="0.35">
      <c r="A27" s="10" t="s">
        <v>1867</v>
      </c>
      <c r="B27" s="11" t="s">
        <v>1868</v>
      </c>
      <c r="C27" s="11" t="s">
        <v>1869</v>
      </c>
      <c r="D27" s="11" t="s">
        <v>1870</v>
      </c>
      <c r="E27" s="10" t="s">
        <v>1871</v>
      </c>
      <c r="F27" s="10" t="s">
        <v>1872</v>
      </c>
      <c r="G27" s="11" t="s">
        <v>1423</v>
      </c>
      <c r="H27" s="10" t="s">
        <v>1873</v>
      </c>
      <c r="I27" s="11" t="s">
        <v>1874</v>
      </c>
    </row>
    <row r="28" spans="1:9" ht="23" x14ac:dyDescent="0.35">
      <c r="A28" s="10" t="s">
        <v>1875</v>
      </c>
      <c r="B28" s="11" t="s">
        <v>1868</v>
      </c>
      <c r="C28" s="11" t="s">
        <v>1876</v>
      </c>
      <c r="D28" s="11" t="s">
        <v>1870</v>
      </c>
      <c r="E28" s="10" t="s">
        <v>1877</v>
      </c>
      <c r="F28" s="10" t="s">
        <v>1878</v>
      </c>
      <c r="G28" s="11" t="s">
        <v>1879</v>
      </c>
      <c r="H28" s="10" t="s">
        <v>1873</v>
      </c>
      <c r="I28" s="11" t="s">
        <v>1880</v>
      </c>
    </row>
    <row r="29" spans="1:9" ht="23" x14ac:dyDescent="0.35">
      <c r="A29" s="10" t="s">
        <v>1881</v>
      </c>
      <c r="B29" s="11" t="s">
        <v>247</v>
      </c>
      <c r="C29" s="11" t="s">
        <v>1882</v>
      </c>
      <c r="D29" s="11" t="s">
        <v>1883</v>
      </c>
      <c r="E29" s="10" t="s">
        <v>1884</v>
      </c>
      <c r="F29" s="10" t="s">
        <v>1885</v>
      </c>
      <c r="G29" s="11" t="s">
        <v>1886</v>
      </c>
      <c r="H29" s="10" t="s">
        <v>1887</v>
      </c>
      <c r="I29" s="11" t="s">
        <v>1888</v>
      </c>
    </row>
    <row r="30" spans="1:9" ht="23" x14ac:dyDescent="0.35">
      <c r="A30" s="10" t="s">
        <v>1889</v>
      </c>
      <c r="B30" s="11" t="s">
        <v>247</v>
      </c>
      <c r="C30" s="11" t="s">
        <v>1890</v>
      </c>
      <c r="D30" s="11" t="s">
        <v>1883</v>
      </c>
      <c r="E30" s="10" t="s">
        <v>1891</v>
      </c>
      <c r="F30" s="10" t="s">
        <v>1843</v>
      </c>
      <c r="G30" s="11" t="s">
        <v>1892</v>
      </c>
      <c r="H30" s="10" t="s">
        <v>1887</v>
      </c>
      <c r="I30" s="11" t="s">
        <v>1893</v>
      </c>
    </row>
    <row r="31" spans="1:9" x14ac:dyDescent="0.35">
      <c r="A31" s="10" t="s">
        <v>1894</v>
      </c>
      <c r="B31" s="11" t="s">
        <v>247</v>
      </c>
      <c r="C31" s="11" t="s">
        <v>1895</v>
      </c>
      <c r="D31" s="11" t="s">
        <v>1896</v>
      </c>
      <c r="E31" s="10" t="s">
        <v>1897</v>
      </c>
      <c r="F31" s="10" t="s">
        <v>1726</v>
      </c>
      <c r="G31" s="11" t="s">
        <v>1898</v>
      </c>
      <c r="H31" s="10" t="s">
        <v>1887</v>
      </c>
      <c r="I31" s="11" t="s">
        <v>1899</v>
      </c>
    </row>
    <row r="32" spans="1:9" ht="23" x14ac:dyDescent="0.35">
      <c r="A32" s="10" t="s">
        <v>1900</v>
      </c>
      <c r="B32" s="11" t="s">
        <v>1047</v>
      </c>
      <c r="C32" s="11" t="s">
        <v>1901</v>
      </c>
      <c r="D32" s="11" t="s">
        <v>1902</v>
      </c>
      <c r="E32" s="10" t="s">
        <v>1903</v>
      </c>
      <c r="F32" s="10" t="s">
        <v>1904</v>
      </c>
      <c r="G32" s="11" t="s">
        <v>1905</v>
      </c>
      <c r="H32" s="10" t="s">
        <v>1887</v>
      </c>
      <c r="I32" s="11" t="s">
        <v>1906</v>
      </c>
    </row>
    <row r="33" spans="1:9" ht="23" x14ac:dyDescent="0.35">
      <c r="A33" s="10" t="s">
        <v>1907</v>
      </c>
      <c r="B33" s="11" t="s">
        <v>1047</v>
      </c>
      <c r="C33" s="11" t="s">
        <v>1908</v>
      </c>
      <c r="D33" s="11" t="s">
        <v>1902</v>
      </c>
      <c r="E33" s="10" t="s">
        <v>1909</v>
      </c>
      <c r="F33" s="10" t="s">
        <v>1910</v>
      </c>
      <c r="G33" s="11" t="s">
        <v>1911</v>
      </c>
      <c r="H33" s="10" t="s">
        <v>1887</v>
      </c>
      <c r="I33" s="11" t="s">
        <v>1912</v>
      </c>
    </row>
    <row r="34" spans="1:9" x14ac:dyDescent="0.35">
      <c r="A34" s="10" t="s">
        <v>1913</v>
      </c>
      <c r="B34" s="11" t="s">
        <v>1914</v>
      </c>
      <c r="C34" s="11" t="s">
        <v>1915</v>
      </c>
      <c r="D34" s="11" t="s">
        <v>1916</v>
      </c>
      <c r="E34" s="10" t="s">
        <v>1917</v>
      </c>
      <c r="F34" s="10" t="s">
        <v>1918</v>
      </c>
      <c r="G34" s="11" t="s">
        <v>1919</v>
      </c>
      <c r="H34" s="10" t="s">
        <v>1887</v>
      </c>
      <c r="I34" s="11" t="s">
        <v>1920</v>
      </c>
    </row>
    <row r="35" spans="1:9" x14ac:dyDescent="0.35">
      <c r="A35" s="10" t="s">
        <v>1921</v>
      </c>
      <c r="B35" s="11" t="s">
        <v>1019</v>
      </c>
      <c r="C35" s="11" t="s">
        <v>1922</v>
      </c>
      <c r="D35" s="11" t="s">
        <v>1923</v>
      </c>
      <c r="E35" s="10" t="s">
        <v>1924</v>
      </c>
      <c r="F35" s="10" t="s">
        <v>1925</v>
      </c>
      <c r="G35" s="11" t="s">
        <v>1926</v>
      </c>
      <c r="H35" s="10" t="s">
        <v>1310</v>
      </c>
      <c r="I35" s="11" t="s">
        <v>1927</v>
      </c>
    </row>
    <row r="36" spans="1:9" x14ac:dyDescent="0.35">
      <c r="A36" s="10" t="s">
        <v>1928</v>
      </c>
      <c r="B36" s="11" t="s">
        <v>1113</v>
      </c>
      <c r="C36" s="11" t="s">
        <v>1929</v>
      </c>
      <c r="D36" s="11" t="s">
        <v>1930</v>
      </c>
      <c r="E36" s="10" t="s">
        <v>1931</v>
      </c>
      <c r="F36" s="10" t="s">
        <v>1932</v>
      </c>
      <c r="G36" s="11" t="s">
        <v>1933</v>
      </c>
      <c r="H36" s="10" t="s">
        <v>1887</v>
      </c>
      <c r="I36" s="11" t="s">
        <v>1934</v>
      </c>
    </row>
    <row r="37" spans="1:9" x14ac:dyDescent="0.35">
      <c r="A37" s="10" t="s">
        <v>1935</v>
      </c>
      <c r="B37" s="11" t="s">
        <v>992</v>
      </c>
      <c r="C37" s="11" t="s">
        <v>1936</v>
      </c>
      <c r="D37" s="11" t="s">
        <v>1937</v>
      </c>
      <c r="E37" s="10" t="s">
        <v>1938</v>
      </c>
      <c r="F37" s="10" t="s">
        <v>1932</v>
      </c>
      <c r="G37" s="11" t="s">
        <v>1939</v>
      </c>
      <c r="H37" s="10" t="s">
        <v>1268</v>
      </c>
      <c r="I37" s="11" t="s">
        <v>1940</v>
      </c>
    </row>
    <row r="38" spans="1:9" ht="23" x14ac:dyDescent="0.35">
      <c r="A38" s="10" t="s">
        <v>1941</v>
      </c>
      <c r="B38" s="11" t="s">
        <v>1942</v>
      </c>
      <c r="C38" s="11" t="s">
        <v>1943</v>
      </c>
      <c r="D38" s="11" t="s">
        <v>1944</v>
      </c>
      <c r="E38" s="10" t="s">
        <v>1945</v>
      </c>
      <c r="F38" s="10" t="s">
        <v>1904</v>
      </c>
      <c r="G38" s="11" t="s">
        <v>1946</v>
      </c>
      <c r="H38" s="10" t="s">
        <v>1288</v>
      </c>
      <c r="I38" s="11" t="s">
        <v>1947</v>
      </c>
    </row>
    <row r="39" spans="1:9" ht="23" x14ac:dyDescent="0.35">
      <c r="A39" s="10" t="s">
        <v>1948</v>
      </c>
      <c r="B39" s="11" t="s">
        <v>1942</v>
      </c>
      <c r="C39" s="11" t="s">
        <v>1949</v>
      </c>
      <c r="D39" s="11" t="s">
        <v>1944</v>
      </c>
      <c r="E39" s="10" t="s">
        <v>1950</v>
      </c>
      <c r="F39" s="10" t="s">
        <v>1918</v>
      </c>
      <c r="G39" s="11" t="s">
        <v>1951</v>
      </c>
      <c r="H39" s="10" t="s">
        <v>1288</v>
      </c>
      <c r="I39" s="11" t="s">
        <v>1952</v>
      </c>
    </row>
    <row r="40" spans="1:9" x14ac:dyDescent="0.35">
      <c r="A40" s="10" t="s">
        <v>1953</v>
      </c>
      <c r="B40" s="11" t="s">
        <v>1942</v>
      </c>
      <c r="C40" s="11" t="s">
        <v>1954</v>
      </c>
      <c r="D40" s="11" t="s">
        <v>1955</v>
      </c>
      <c r="E40" s="10" t="s">
        <v>1956</v>
      </c>
      <c r="F40" s="10" t="s">
        <v>1918</v>
      </c>
      <c r="G40" s="11" t="s">
        <v>1957</v>
      </c>
      <c r="H40" s="10" t="s">
        <v>1288</v>
      </c>
      <c r="I40" s="11" t="s">
        <v>1958</v>
      </c>
    </row>
    <row r="41" spans="1:9" x14ac:dyDescent="0.35">
      <c r="A41" s="10" t="s">
        <v>1959</v>
      </c>
      <c r="B41" s="11" t="s">
        <v>1960</v>
      </c>
      <c r="C41" s="11" t="s">
        <v>1961</v>
      </c>
      <c r="D41" s="11" t="s">
        <v>1962</v>
      </c>
      <c r="E41" s="10" t="s">
        <v>1963</v>
      </c>
      <c r="F41" s="10" t="s">
        <v>1964</v>
      </c>
      <c r="G41" s="11" t="s">
        <v>1965</v>
      </c>
      <c r="H41" s="10" t="s">
        <v>1299</v>
      </c>
      <c r="I41" s="11" t="s">
        <v>1966</v>
      </c>
    </row>
    <row r="42" spans="1:9" ht="23" x14ac:dyDescent="0.35">
      <c r="A42" s="10" t="s">
        <v>1967</v>
      </c>
      <c r="B42" s="11" t="s">
        <v>1968</v>
      </c>
      <c r="C42" s="11" t="s">
        <v>1969</v>
      </c>
      <c r="D42" s="11" t="s">
        <v>1970</v>
      </c>
      <c r="E42" s="10" t="s">
        <v>1971</v>
      </c>
      <c r="F42" s="10" t="s">
        <v>1972</v>
      </c>
      <c r="G42" s="11" t="s">
        <v>1973</v>
      </c>
      <c r="H42" s="10" t="s">
        <v>1974</v>
      </c>
      <c r="I42" s="11" t="s">
        <v>1975</v>
      </c>
    </row>
    <row r="43" spans="1:9" x14ac:dyDescent="0.35">
      <c r="A43" s="10" t="s">
        <v>1976</v>
      </c>
      <c r="B43" s="11" t="s">
        <v>792</v>
      </c>
      <c r="C43" s="11" t="s">
        <v>1977</v>
      </c>
      <c r="D43" s="11" t="s">
        <v>1978</v>
      </c>
      <c r="E43" s="10" t="s">
        <v>1979</v>
      </c>
      <c r="F43" s="10" t="s">
        <v>796</v>
      </c>
      <c r="G43" s="11" t="s">
        <v>1980</v>
      </c>
      <c r="H43" s="10" t="s">
        <v>1981</v>
      </c>
      <c r="I43" s="11" t="s">
        <v>1982</v>
      </c>
    </row>
    <row r="44" spans="1:9" ht="23" x14ac:dyDescent="0.35">
      <c r="A44" s="10" t="s">
        <v>1983</v>
      </c>
      <c r="B44" s="11" t="s">
        <v>1984</v>
      </c>
      <c r="C44" s="11" t="s">
        <v>1985</v>
      </c>
      <c r="D44" s="11" t="s">
        <v>1986</v>
      </c>
      <c r="E44" s="10" t="s">
        <v>1987</v>
      </c>
      <c r="F44" s="10" t="s">
        <v>1988</v>
      </c>
      <c r="G44" s="11" t="s">
        <v>1989</v>
      </c>
      <c r="H44" s="10" t="s">
        <v>1974</v>
      </c>
      <c r="I44" s="11" t="s">
        <v>1990</v>
      </c>
    </row>
    <row r="45" spans="1:9" x14ac:dyDescent="0.35">
      <c r="A45" s="10" t="s">
        <v>1991</v>
      </c>
      <c r="B45" s="11" t="s">
        <v>455</v>
      </c>
      <c r="C45" s="11" t="s">
        <v>1992</v>
      </c>
      <c r="D45" s="11" t="s">
        <v>1993</v>
      </c>
      <c r="E45" s="10" t="s">
        <v>1994</v>
      </c>
      <c r="F45" s="10" t="s">
        <v>1995</v>
      </c>
      <c r="G45" s="11" t="s">
        <v>453</v>
      </c>
      <c r="H45" s="10" t="s">
        <v>1996</v>
      </c>
      <c r="I45" s="11" t="s">
        <v>1997</v>
      </c>
    </row>
    <row r="46" spans="1:9" ht="23" x14ac:dyDescent="0.35">
      <c r="A46" s="10" t="s">
        <v>1998</v>
      </c>
      <c r="B46" s="11" t="s">
        <v>1999</v>
      </c>
      <c r="C46" s="11" t="s">
        <v>2000</v>
      </c>
      <c r="D46" s="11" t="s">
        <v>860</v>
      </c>
      <c r="E46" s="10" t="s">
        <v>2001</v>
      </c>
      <c r="F46" s="10" t="s">
        <v>2002</v>
      </c>
      <c r="G46" s="11" t="s">
        <v>2003</v>
      </c>
      <c r="H46" s="10" t="s">
        <v>1310</v>
      </c>
      <c r="I46" s="11" t="s">
        <v>2004</v>
      </c>
    </row>
    <row r="47" spans="1:9" x14ac:dyDescent="0.35">
      <c r="A47" s="10" t="s">
        <v>2005</v>
      </c>
      <c r="B47" s="11" t="s">
        <v>2006</v>
      </c>
      <c r="C47" s="11" t="s">
        <v>2007</v>
      </c>
      <c r="D47" s="11" t="s">
        <v>2008</v>
      </c>
      <c r="E47" s="10" t="s">
        <v>2009</v>
      </c>
      <c r="F47" s="10" t="s">
        <v>1878</v>
      </c>
      <c r="G47" s="11" t="s">
        <v>2010</v>
      </c>
      <c r="H47" s="10" t="s">
        <v>2011</v>
      </c>
      <c r="I47" s="11" t="s">
        <v>2012</v>
      </c>
    </row>
  </sheetData>
  <autoFilter ref="A3:I4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zoomScale="90" workbookViewId="0">
      <pane ySplit="3" topLeftCell="A4" activePane="bottomLeft" state="frozen"/>
      <selection pane="bottomLeft"/>
    </sheetView>
  </sheetViews>
  <sheetFormatPr defaultRowHeight="14.5" x14ac:dyDescent="0.35"/>
  <cols>
    <col min="1" max="2" width="34" customWidth="1"/>
    <col min="3" max="3" width="13" customWidth="1"/>
    <col min="4" max="4" width="15" customWidth="1"/>
    <col min="5" max="5" width="14" customWidth="1"/>
    <col min="6" max="6" width="34" customWidth="1"/>
  </cols>
  <sheetData>
    <row r="1" spans="1:6" ht="18" x14ac:dyDescent="0.4">
      <c r="A1" s="1" t="s">
        <v>2013</v>
      </c>
    </row>
    <row r="2" spans="1:6" x14ac:dyDescent="0.35">
      <c r="A2" s="2" t="s">
        <v>2014</v>
      </c>
    </row>
    <row r="3" spans="1:6" ht="26" x14ac:dyDescent="0.35">
      <c r="A3" s="8" t="s">
        <v>2015</v>
      </c>
      <c r="B3" s="8" t="s">
        <v>2016</v>
      </c>
      <c r="C3" s="8" t="s">
        <v>2017</v>
      </c>
      <c r="D3" s="8" t="s">
        <v>2018</v>
      </c>
      <c r="E3" s="8" t="s">
        <v>2019</v>
      </c>
      <c r="F3" s="9" t="s">
        <v>28</v>
      </c>
    </row>
    <row r="4" spans="1:6" ht="23" x14ac:dyDescent="0.35">
      <c r="A4" s="11" t="s">
        <v>2020</v>
      </c>
      <c r="B4" s="11" t="s">
        <v>2021</v>
      </c>
      <c r="C4" s="10" t="s">
        <v>2022</v>
      </c>
      <c r="D4" s="10" t="s">
        <v>2023</v>
      </c>
      <c r="E4" s="10" t="s">
        <v>2024</v>
      </c>
      <c r="F4" s="11" t="s">
        <v>2025</v>
      </c>
    </row>
    <row r="5" spans="1:6" ht="23" x14ac:dyDescent="0.35">
      <c r="A5" s="11" t="s">
        <v>2026</v>
      </c>
      <c r="B5" s="11" t="s">
        <v>2027</v>
      </c>
      <c r="C5" s="10" t="s">
        <v>2022</v>
      </c>
      <c r="D5" s="10" t="s">
        <v>2028</v>
      </c>
      <c r="E5" s="10" t="s">
        <v>2024</v>
      </c>
      <c r="F5" s="11" t="s">
        <v>2029</v>
      </c>
    </row>
    <row r="6" spans="1:6" ht="23" x14ac:dyDescent="0.35">
      <c r="A6" s="11" t="s">
        <v>2030</v>
      </c>
      <c r="B6" s="11" t="s">
        <v>2031</v>
      </c>
      <c r="C6" s="10" t="s">
        <v>2022</v>
      </c>
      <c r="D6" s="10" t="s">
        <v>2032</v>
      </c>
      <c r="E6" s="10" t="s">
        <v>2033</v>
      </c>
      <c r="F6" s="11" t="s">
        <v>2034</v>
      </c>
    </row>
    <row r="7" spans="1:6" ht="23" x14ac:dyDescent="0.35">
      <c r="A7" s="11" t="s">
        <v>2035</v>
      </c>
      <c r="B7" s="11" t="s">
        <v>2036</v>
      </c>
      <c r="C7" s="10" t="s">
        <v>2022</v>
      </c>
      <c r="D7" s="10" t="s">
        <v>2037</v>
      </c>
      <c r="E7" s="10" t="s">
        <v>2024</v>
      </c>
      <c r="F7" s="11" t="s">
        <v>2038</v>
      </c>
    </row>
    <row r="8" spans="1:6" ht="23" x14ac:dyDescent="0.35">
      <c r="A8" s="11" t="s">
        <v>2039</v>
      </c>
      <c r="B8" s="11" t="s">
        <v>2040</v>
      </c>
      <c r="C8" s="10" t="s">
        <v>2041</v>
      </c>
      <c r="D8" s="10" t="s">
        <v>2042</v>
      </c>
      <c r="E8" s="10" t="s">
        <v>2024</v>
      </c>
      <c r="F8" s="11" t="s">
        <v>2043</v>
      </c>
    </row>
    <row r="9" spans="1:6" ht="23" x14ac:dyDescent="0.35">
      <c r="A9" s="11" t="s">
        <v>2044</v>
      </c>
      <c r="B9" s="11" t="s">
        <v>2045</v>
      </c>
      <c r="C9" s="10" t="s">
        <v>2022</v>
      </c>
      <c r="D9" s="10" t="s">
        <v>2046</v>
      </c>
      <c r="E9" s="10" t="s">
        <v>2047</v>
      </c>
      <c r="F9" s="11" t="s">
        <v>2048</v>
      </c>
    </row>
    <row r="10" spans="1:6" ht="46" x14ac:dyDescent="0.35">
      <c r="A10" s="11" t="s">
        <v>2049</v>
      </c>
      <c r="B10" s="11" t="s">
        <v>2050</v>
      </c>
      <c r="C10" s="10" t="s">
        <v>2022</v>
      </c>
      <c r="D10" s="10" t="s">
        <v>2022</v>
      </c>
      <c r="E10" s="10" t="s">
        <v>2051</v>
      </c>
      <c r="F10" s="11" t="s">
        <v>2052</v>
      </c>
    </row>
    <row r="11" spans="1:6" ht="23" x14ac:dyDescent="0.35">
      <c r="A11" s="11" t="s">
        <v>2053</v>
      </c>
      <c r="B11" s="11" t="s">
        <v>2054</v>
      </c>
      <c r="C11" s="10" t="s">
        <v>2055</v>
      </c>
      <c r="D11" s="10" t="s">
        <v>2055</v>
      </c>
      <c r="E11" s="10" t="s">
        <v>2024</v>
      </c>
      <c r="F11" s="11" t="s">
        <v>2056</v>
      </c>
    </row>
    <row r="12" spans="1:6" ht="23" x14ac:dyDescent="0.35">
      <c r="A12" s="11" t="s">
        <v>2057</v>
      </c>
      <c r="B12" s="11" t="s">
        <v>2058</v>
      </c>
      <c r="C12" s="10" t="s">
        <v>2059</v>
      </c>
      <c r="D12" s="10" t="s">
        <v>2060</v>
      </c>
      <c r="E12" s="10" t="s">
        <v>2024</v>
      </c>
      <c r="F12" s="11" t="s">
        <v>2061</v>
      </c>
    </row>
    <row r="13" spans="1:6" ht="23" x14ac:dyDescent="0.35">
      <c r="A13" s="11" t="s">
        <v>2062</v>
      </c>
      <c r="B13" s="11" t="s">
        <v>2063</v>
      </c>
      <c r="C13" s="10" t="s">
        <v>2064</v>
      </c>
      <c r="D13" s="10" t="s">
        <v>2064</v>
      </c>
      <c r="E13" s="10" t="s">
        <v>2024</v>
      </c>
      <c r="F13" s="11" t="s">
        <v>2065</v>
      </c>
    </row>
    <row r="14" spans="1:6" ht="23" x14ac:dyDescent="0.35">
      <c r="A14" s="11" t="s">
        <v>2066</v>
      </c>
      <c r="B14" s="11" t="s">
        <v>2067</v>
      </c>
      <c r="C14" s="10" t="s">
        <v>2068</v>
      </c>
      <c r="D14" s="10" t="s">
        <v>2069</v>
      </c>
      <c r="E14" s="10" t="s">
        <v>2070</v>
      </c>
      <c r="F14" s="11" t="s">
        <v>2071</v>
      </c>
    </row>
    <row r="15" spans="1:6" x14ac:dyDescent="0.35">
      <c r="A15" s="11" t="s">
        <v>2072</v>
      </c>
      <c r="B15" s="11" t="s">
        <v>2073</v>
      </c>
      <c r="C15" s="10" t="s">
        <v>2022</v>
      </c>
      <c r="D15" s="10" t="s">
        <v>2074</v>
      </c>
      <c r="E15" s="10" t="s">
        <v>2024</v>
      </c>
      <c r="F15" s="11" t="s">
        <v>2075</v>
      </c>
    </row>
    <row r="16" spans="1:6" ht="23" x14ac:dyDescent="0.35">
      <c r="A16" s="11" t="s">
        <v>189</v>
      </c>
      <c r="B16" s="11" t="s">
        <v>2076</v>
      </c>
      <c r="C16" s="10" t="s">
        <v>2077</v>
      </c>
      <c r="D16" s="10" t="s">
        <v>2078</v>
      </c>
      <c r="E16" s="10" t="s">
        <v>2024</v>
      </c>
      <c r="F16" s="11" t="s">
        <v>2079</v>
      </c>
    </row>
    <row r="17" spans="1:6" x14ac:dyDescent="0.35">
      <c r="A17" s="11" t="s">
        <v>2080</v>
      </c>
      <c r="B17" s="11" t="s">
        <v>2081</v>
      </c>
      <c r="C17" s="10" t="s">
        <v>2022</v>
      </c>
      <c r="D17" s="10" t="s">
        <v>2082</v>
      </c>
      <c r="E17" s="10" t="s">
        <v>2024</v>
      </c>
      <c r="F17" s="11" t="s">
        <v>2083</v>
      </c>
    </row>
  </sheetData>
  <autoFilter ref="A3:F1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zoomScale="9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40" customWidth="1"/>
    <col min="3" max="4" width="16" customWidth="1"/>
    <col min="5" max="5" width="36" customWidth="1"/>
    <col min="6" max="6" width="8" customWidth="1"/>
    <col min="7" max="7" width="12" customWidth="1"/>
    <col min="8" max="8" width="30" customWidth="1"/>
  </cols>
  <sheetData>
    <row r="1" spans="1:8" ht="18" x14ac:dyDescent="0.4">
      <c r="A1" s="1" t="s">
        <v>2084</v>
      </c>
    </row>
    <row r="2" spans="1:8" x14ac:dyDescent="0.35">
      <c r="A2" s="2" t="s">
        <v>2085</v>
      </c>
    </row>
    <row r="3" spans="1:8" ht="26" x14ac:dyDescent="0.35">
      <c r="A3" s="8" t="s">
        <v>22</v>
      </c>
      <c r="B3" s="8" t="s">
        <v>2086</v>
      </c>
      <c r="C3" s="8" t="s">
        <v>2087</v>
      </c>
      <c r="D3" s="9" t="s">
        <v>2088</v>
      </c>
      <c r="E3" s="8" t="s">
        <v>2089</v>
      </c>
      <c r="F3" s="9" t="s">
        <v>24</v>
      </c>
      <c r="G3" s="9" t="s">
        <v>25</v>
      </c>
      <c r="H3" s="9" t="s">
        <v>28</v>
      </c>
    </row>
    <row r="4" spans="1:8" ht="23" x14ac:dyDescent="0.35">
      <c r="A4" s="10" t="s">
        <v>2090</v>
      </c>
      <c r="B4" s="11" t="s">
        <v>2091</v>
      </c>
      <c r="C4" s="10" t="s">
        <v>2092</v>
      </c>
      <c r="D4" s="10" t="s">
        <v>2093</v>
      </c>
      <c r="E4" s="11" t="s">
        <v>2094</v>
      </c>
      <c r="F4" s="10" t="s">
        <v>31</v>
      </c>
      <c r="G4" s="10" t="s">
        <v>73</v>
      </c>
      <c r="H4" s="11" t="s">
        <v>2095</v>
      </c>
    </row>
    <row r="5" spans="1:8" ht="23" x14ac:dyDescent="0.35">
      <c r="A5" s="10" t="s">
        <v>2096</v>
      </c>
      <c r="B5" s="11" t="s">
        <v>2097</v>
      </c>
      <c r="C5" s="10" t="s">
        <v>2092</v>
      </c>
      <c r="D5" s="10" t="s">
        <v>2098</v>
      </c>
      <c r="E5" s="11" t="s">
        <v>2099</v>
      </c>
      <c r="F5" s="10" t="s">
        <v>85</v>
      </c>
      <c r="G5" s="10" t="s">
        <v>73</v>
      </c>
      <c r="H5" s="11"/>
    </row>
    <row r="6" spans="1:8" x14ac:dyDescent="0.35">
      <c r="A6" s="10" t="s">
        <v>2100</v>
      </c>
      <c r="B6" s="11" t="s">
        <v>2101</v>
      </c>
      <c r="C6" s="10" t="s">
        <v>2092</v>
      </c>
      <c r="D6" s="10" t="s">
        <v>2102</v>
      </c>
      <c r="E6" s="11" t="s">
        <v>2103</v>
      </c>
      <c r="F6" s="10" t="s">
        <v>99</v>
      </c>
      <c r="G6" s="10" t="s">
        <v>73</v>
      </c>
      <c r="H6" s="11"/>
    </row>
    <row r="7" spans="1:8" x14ac:dyDescent="0.35">
      <c r="A7" s="10" t="s">
        <v>2104</v>
      </c>
      <c r="B7" s="11" t="s">
        <v>2105</v>
      </c>
      <c r="C7" s="10" t="s">
        <v>2092</v>
      </c>
      <c r="D7" s="10" t="s">
        <v>2106</v>
      </c>
      <c r="E7" s="11" t="s">
        <v>2107</v>
      </c>
      <c r="F7" s="10" t="s">
        <v>99</v>
      </c>
      <c r="G7" s="10" t="s">
        <v>73</v>
      </c>
      <c r="H7" s="11"/>
    </row>
    <row r="8" spans="1:8" x14ac:dyDescent="0.35">
      <c r="A8" s="10" t="s">
        <v>2108</v>
      </c>
      <c r="B8" s="11" t="s">
        <v>2109</v>
      </c>
      <c r="C8" s="10" t="s">
        <v>2092</v>
      </c>
      <c r="D8" s="10" t="s">
        <v>2106</v>
      </c>
      <c r="E8" s="11" t="s">
        <v>2110</v>
      </c>
      <c r="F8" s="10" t="s">
        <v>99</v>
      </c>
      <c r="G8" s="10" t="s">
        <v>73</v>
      </c>
      <c r="H8" s="11"/>
    </row>
    <row r="9" spans="1:8" ht="23" x14ac:dyDescent="0.35">
      <c r="A9" s="10" t="s">
        <v>2111</v>
      </c>
      <c r="B9" s="11" t="s">
        <v>2112</v>
      </c>
      <c r="C9" s="10" t="s">
        <v>2092</v>
      </c>
      <c r="D9" s="10" t="s">
        <v>2102</v>
      </c>
      <c r="E9" s="11" t="s">
        <v>2113</v>
      </c>
      <c r="F9" s="10" t="s">
        <v>99</v>
      </c>
      <c r="G9" s="10" t="s">
        <v>73</v>
      </c>
      <c r="H9" s="11" t="s">
        <v>2114</v>
      </c>
    </row>
    <row r="10" spans="1:8" ht="23" x14ac:dyDescent="0.35">
      <c r="A10" s="10" t="s">
        <v>2115</v>
      </c>
      <c r="B10" s="11" t="s">
        <v>2116</v>
      </c>
      <c r="C10" s="10" t="s">
        <v>2117</v>
      </c>
      <c r="D10" s="10" t="s">
        <v>2102</v>
      </c>
      <c r="E10" s="11" t="s">
        <v>2118</v>
      </c>
      <c r="F10" s="10" t="s">
        <v>99</v>
      </c>
      <c r="G10" s="10" t="s">
        <v>73</v>
      </c>
      <c r="H10" s="11" t="s">
        <v>2119</v>
      </c>
    </row>
    <row r="11" spans="1:8" x14ac:dyDescent="0.35">
      <c r="A11" s="10" t="s">
        <v>2120</v>
      </c>
      <c r="B11" s="11" t="s">
        <v>2121</v>
      </c>
      <c r="C11" s="10" t="s">
        <v>2092</v>
      </c>
      <c r="D11" s="10" t="s">
        <v>2106</v>
      </c>
      <c r="E11" s="11" t="s">
        <v>2122</v>
      </c>
      <c r="F11" s="10" t="s">
        <v>99</v>
      </c>
      <c r="G11" s="10" t="s">
        <v>73</v>
      </c>
      <c r="H11" s="11"/>
    </row>
    <row r="12" spans="1:8" x14ac:dyDescent="0.35">
      <c r="A12" s="10" t="s">
        <v>2123</v>
      </c>
      <c r="B12" s="11" t="s">
        <v>2124</v>
      </c>
      <c r="C12" s="10" t="s">
        <v>2125</v>
      </c>
      <c r="D12" s="10" t="s">
        <v>2126</v>
      </c>
      <c r="E12" s="11" t="s">
        <v>2127</v>
      </c>
      <c r="F12" s="10" t="s">
        <v>85</v>
      </c>
      <c r="G12" s="10" t="s">
        <v>73</v>
      </c>
      <c r="H12" s="11"/>
    </row>
    <row r="13" spans="1:8" x14ac:dyDescent="0.35">
      <c r="A13" s="10" t="s">
        <v>2128</v>
      </c>
      <c r="B13" s="11" t="s">
        <v>2129</v>
      </c>
      <c r="C13" s="10" t="s">
        <v>2125</v>
      </c>
      <c r="D13" s="10" t="s">
        <v>2130</v>
      </c>
      <c r="E13" s="11" t="s">
        <v>2131</v>
      </c>
      <c r="F13" s="10" t="s">
        <v>85</v>
      </c>
      <c r="G13" s="10" t="s">
        <v>73</v>
      </c>
      <c r="H13" s="11"/>
    </row>
    <row r="14" spans="1:8" x14ac:dyDescent="0.35">
      <c r="A14" s="10" t="s">
        <v>2132</v>
      </c>
      <c r="B14" s="11" t="s">
        <v>2133</v>
      </c>
      <c r="C14" s="10" t="s">
        <v>2125</v>
      </c>
      <c r="D14" s="10" t="s">
        <v>2130</v>
      </c>
      <c r="E14" s="11" t="s">
        <v>2134</v>
      </c>
      <c r="F14" s="10" t="s">
        <v>31</v>
      </c>
      <c r="G14" s="10" t="s">
        <v>73</v>
      </c>
      <c r="H14" s="11"/>
    </row>
    <row r="15" spans="1:8" x14ac:dyDescent="0.35">
      <c r="A15" s="10" t="s">
        <v>2135</v>
      </c>
      <c r="B15" s="11" t="s">
        <v>2136</v>
      </c>
      <c r="C15" s="10" t="s">
        <v>2125</v>
      </c>
      <c r="D15" s="10" t="s">
        <v>2130</v>
      </c>
      <c r="E15" s="11" t="s">
        <v>2137</v>
      </c>
      <c r="F15" s="10" t="s">
        <v>31</v>
      </c>
      <c r="G15" s="10" t="s">
        <v>73</v>
      </c>
      <c r="H15" s="11"/>
    </row>
    <row r="16" spans="1:8" x14ac:dyDescent="0.35">
      <c r="A16" s="10" t="s">
        <v>2138</v>
      </c>
      <c r="B16" s="11" t="s">
        <v>2139</v>
      </c>
      <c r="C16" s="10" t="s">
        <v>2125</v>
      </c>
      <c r="D16" s="10" t="s">
        <v>2140</v>
      </c>
      <c r="E16" s="11" t="s">
        <v>2141</v>
      </c>
      <c r="F16" s="10" t="s">
        <v>31</v>
      </c>
      <c r="G16" s="10" t="s">
        <v>73</v>
      </c>
      <c r="H16" s="11"/>
    </row>
    <row r="17" spans="1:8" x14ac:dyDescent="0.35">
      <c r="A17" s="10" t="s">
        <v>2142</v>
      </c>
      <c r="B17" s="11" t="s">
        <v>2143</v>
      </c>
      <c r="C17" s="10" t="s">
        <v>2125</v>
      </c>
      <c r="D17" s="10" t="s">
        <v>2144</v>
      </c>
      <c r="E17" s="11" t="s">
        <v>2145</v>
      </c>
      <c r="F17" s="10" t="s">
        <v>85</v>
      </c>
      <c r="G17" s="10" t="s">
        <v>73</v>
      </c>
      <c r="H17" s="11" t="s">
        <v>2146</v>
      </c>
    </row>
    <row r="18" spans="1:8" x14ac:dyDescent="0.35">
      <c r="A18" s="10" t="s">
        <v>2147</v>
      </c>
      <c r="B18" s="11" t="s">
        <v>2148</v>
      </c>
      <c r="C18" s="10" t="s">
        <v>2125</v>
      </c>
      <c r="D18" s="10" t="s">
        <v>2149</v>
      </c>
      <c r="E18" s="11" t="s">
        <v>2150</v>
      </c>
      <c r="F18" s="10" t="s">
        <v>99</v>
      </c>
      <c r="G18" s="10" t="s">
        <v>73</v>
      </c>
      <c r="H18" s="11"/>
    </row>
    <row r="19" spans="1:8" x14ac:dyDescent="0.35">
      <c r="A19" s="10" t="s">
        <v>2151</v>
      </c>
      <c r="B19" s="11" t="s">
        <v>2152</v>
      </c>
      <c r="C19" s="10" t="s">
        <v>2125</v>
      </c>
      <c r="D19" s="10" t="s">
        <v>2153</v>
      </c>
      <c r="E19" s="11" t="s">
        <v>2154</v>
      </c>
      <c r="F19" s="10" t="s">
        <v>85</v>
      </c>
      <c r="G19" s="10" t="s">
        <v>73</v>
      </c>
      <c r="H19" s="11"/>
    </row>
    <row r="20" spans="1:8" ht="23" x14ac:dyDescent="0.35">
      <c r="A20" s="10" t="s">
        <v>2155</v>
      </c>
      <c r="B20" s="11" t="s">
        <v>2156</v>
      </c>
      <c r="C20" s="10" t="s">
        <v>2125</v>
      </c>
      <c r="D20" s="10" t="s">
        <v>2157</v>
      </c>
      <c r="E20" s="11" t="s">
        <v>2158</v>
      </c>
      <c r="F20" s="10" t="s">
        <v>85</v>
      </c>
      <c r="G20" s="10" t="s">
        <v>73</v>
      </c>
      <c r="H20" s="11" t="s">
        <v>2159</v>
      </c>
    </row>
    <row r="21" spans="1:8" ht="23" x14ac:dyDescent="0.35">
      <c r="A21" s="10" t="s">
        <v>2160</v>
      </c>
      <c r="B21" s="11" t="s">
        <v>2161</v>
      </c>
      <c r="C21" s="10" t="s">
        <v>2125</v>
      </c>
      <c r="D21" s="10" t="s">
        <v>2162</v>
      </c>
      <c r="E21" s="11" t="s">
        <v>2163</v>
      </c>
      <c r="F21" s="10" t="s">
        <v>99</v>
      </c>
      <c r="G21" s="10" t="s">
        <v>73</v>
      </c>
      <c r="H21" s="11"/>
    </row>
  </sheetData>
  <autoFilter ref="A3:H21" xr:uid="{00000000-0009-0000-0000-000009000000}"/>
  <conditionalFormatting sqref="G4:G60">
    <cfRule type="containsText" dxfId="7" priority="1" operator="containsText" text="Done">
      <formula>NOT(ISERROR(SEARCH("Done",G4)))</formula>
    </cfRule>
    <cfRule type="containsText" dxfId="6" priority="2" operator="containsText" text="Validated">
      <formula>NOT(ISERROR(SEARCH("Validated",G4)))</formula>
    </cfRule>
    <cfRule type="containsText" dxfId="5" priority="3" operator="containsText" text="Loaded">
      <formula>NOT(ISERROR(SEARCH("Loaded",G4)))</formula>
    </cfRule>
    <cfRule type="containsText" dxfId="4" priority="4" operator="containsText" text="In progress">
      <formula>NOT(ISERROR(SEARCH("In progress",G4)))</formula>
    </cfRule>
    <cfRule type="containsText" dxfId="3" priority="5" operator="containsText" text="Fetched">
      <formula>NOT(ISERROR(SEARCH("Fetched",G4)))</formula>
    </cfRule>
    <cfRule type="containsText" dxfId="2" priority="6" operator="containsText" text="Cleaned">
      <formula>NOT(ISERROR(SEARCH("Cleaned",G4)))</formula>
    </cfRule>
    <cfRule type="containsText" dxfId="1" priority="7" operator="containsText" text="Blocked">
      <formula>NOT(ISERROR(SEARCH("Blocked",G4)))</formula>
    </cfRule>
    <cfRule type="containsText" dxfId="0" priority="8" operator="containsText" text="Not started">
      <formula>NOT(ISERROR(SEARCH("Not started",G4)))</formula>
    </cfRule>
  </conditionalFormatting>
  <dataValidations count="2">
    <dataValidation type="list" allowBlank="1" sqref="G4:G60" xr:uid="{00000000-0002-0000-0900-000000000000}">
      <formula1>"Not started,In progress,Fetched,Cleaned,Loaded,Validated,Done,Blocked,N/A"</formula1>
    </dataValidation>
    <dataValidation type="list" allowBlank="1" sqref="F4:F60" xr:uid="{00000000-0002-0000-0900-000001000000}">
      <formula1>"P1,P2,P3"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1_Sources</vt:lpstr>
      <vt:lpstr>Dashboard</vt:lpstr>
      <vt:lpstr>2_Assembly</vt:lpstr>
      <vt:lpstr>3_Prototypes</vt:lpstr>
      <vt:lpstr>4_Pipelines</vt:lpstr>
      <vt:lpstr>5_DB_Schema</vt:lpstr>
      <vt:lpstr>6_Anchors</vt:lpstr>
      <vt:lpstr>7_Licensing</vt:lpstr>
      <vt:lpstr>8_Watchlist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Gupta</cp:lastModifiedBy>
  <dcterms:created xsi:type="dcterms:W3CDTF">2026-08-04T17:07:13Z</dcterms:created>
  <dcterms:modified xsi:type="dcterms:W3CDTF">2026-08-04T17:50:32Z</dcterms:modified>
</cp:coreProperties>
</file>